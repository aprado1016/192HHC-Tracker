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Report" sheetId="1" r:id="rId5"/>
    <sheet state="visible" name="HW" sheetId="2" r:id="rId6"/>
    <sheet state="visible" name="Due Outs" sheetId="3" r:id="rId7"/>
    <sheet state="visible" name="Location (Manual)" sheetId="4" r:id="rId8"/>
    <sheet state="visible" name="Location Summary" sheetId="5" r:id="rId9"/>
    <sheet state="visible" name="Security Clearance" sheetId="6" r:id="rId10"/>
  </sheets>
  <definedNames>
    <definedName hidden="1" localSheetId="0" name="_xlnm._FilterDatabase">'Attendance Report'!$A$9:$G$94</definedName>
    <definedName hidden="1" localSheetId="1" name="_xlnm._FilterDatabase">HW!$A$9:$F$98</definedName>
  </definedNames>
  <calcPr/>
</workbook>
</file>

<file path=xl/sharedStrings.xml><?xml version="1.0" encoding="utf-8"?>
<sst xmlns="http://schemas.openxmlformats.org/spreadsheetml/2006/main" count="1276" uniqueCount="271">
  <si>
    <t>HHC 192nd ENGINEER BATTALION</t>
  </si>
  <si>
    <t>HHC 192nd ENGINEER BATTALION — Location Tracker (Manual)</t>
  </si>
  <si>
    <t>Section</t>
  </si>
  <si>
    <t>NCOERS</t>
  </si>
  <si>
    <t>OER</t>
  </si>
  <si>
    <t>E5/E6 board preferences</t>
  </si>
  <si>
    <t>Sec Clearance</t>
  </si>
  <si>
    <t>eURI Survay</t>
  </si>
  <si>
    <t>HQ</t>
  </si>
  <si>
    <t>0/1</t>
  </si>
  <si>
    <t>MED</t>
  </si>
  <si>
    <t>STRENGTH SUMMARY</t>
  </si>
  <si>
    <t>0/0</t>
  </si>
  <si>
    <t>0/2</t>
  </si>
  <si>
    <t>SURVEY</t>
  </si>
  <si>
    <t>8/9 (1 not present)</t>
  </si>
  <si>
    <t>S1</t>
  </si>
  <si>
    <t>1/1 (w/ chap)</t>
  </si>
  <si>
    <t>S2</t>
  </si>
  <si>
    <t>0/1 (blackwell)</t>
  </si>
  <si>
    <t>Enter soldier counts per section per location. Totals auto-check against Attendance Report.</t>
  </si>
  <si>
    <t>H/W tracker</t>
  </si>
  <si>
    <t>S3</t>
  </si>
  <si>
    <t>HHC 192nd Engineer Battalion</t>
  </si>
  <si>
    <t>13/14</t>
  </si>
  <si>
    <t>S4</t>
  </si>
  <si>
    <t>0/1 (w/ rater)</t>
  </si>
  <si>
    <t>S6</t>
  </si>
  <si>
    <t>2/3 (1 with expired CAC)</t>
  </si>
  <si>
    <t>Totals</t>
  </si>
  <si>
    <t>Attendance Report</t>
  </si>
  <si>
    <t>13/15</t>
  </si>
  <si>
    <t>5/</t>
  </si>
  <si>
    <t>45/56</t>
  </si>
  <si>
    <t>Category</t>
  </si>
  <si>
    <t>STATUS LEGEND</t>
  </si>
  <si>
    <t>Total</t>
  </si>
  <si>
    <t>Present</t>
  </si>
  <si>
    <t>% Present</t>
  </si>
  <si>
    <t>Officers</t>
  </si>
  <si>
    <t>INDICATOR LEGEND</t>
  </si>
  <si>
    <t>SUTA</t>
  </si>
  <si>
    <t>AWOL</t>
  </si>
  <si>
    <t>Rank</t>
  </si>
  <si>
    <t>Name</t>
  </si>
  <si>
    <t>Status</t>
  </si>
  <si>
    <t>Remarks</t>
  </si>
  <si>
    <t>H/W (JUN IDT) Pass / Fail</t>
  </si>
  <si>
    <t>Totals match — all soldiers accounted for</t>
  </si>
  <si>
    <t>CMD</t>
  </si>
  <si>
    <t>Mismatch — total does not equal Present count</t>
  </si>
  <si>
    <t>CSM</t>
  </si>
  <si>
    <t>RIOSSOTO ERNESTO</t>
  </si>
  <si>
    <t>Partial — some sections not yet entered (blanks exist)</t>
  </si>
  <si>
    <t>Enlisted</t>
  </si>
  <si>
    <t>Enter headcount per section →</t>
  </si>
  <si>
    <t>Location</t>
  </si>
  <si>
    <t>LTC</t>
  </si>
  <si>
    <t>MILLER CHRISTOPHER</t>
  </si>
  <si>
    <t>Officer</t>
  </si>
  <si>
    <t>Did not take</t>
  </si>
  <si>
    <t>MAJ</t>
  </si>
  <si>
    <t>GABER, AARON</t>
  </si>
  <si>
    <t>Other</t>
  </si>
  <si>
    <t>Row Total</t>
  </si>
  <si>
    <t>ROTC SUPPORT</t>
  </si>
  <si>
    <t>Stratford Armory</t>
  </si>
  <si>
    <t>GIUNTO JUSTIN H</t>
  </si>
  <si>
    <t>1LT</t>
  </si>
  <si>
    <t>PRADO CARLOS ANDRES</t>
  </si>
  <si>
    <t>PASS</t>
  </si>
  <si>
    <t>1SG</t>
  </si>
  <si>
    <t>MINICUCCI MARC</t>
  </si>
  <si>
    <t>2LT</t>
  </si>
  <si>
    <t>HANG</t>
  </si>
  <si>
    <t>London Armory</t>
  </si>
  <si>
    <t>QUESNEL</t>
  </si>
  <si>
    <t>WILLET</t>
  </si>
  <si>
    <t>CDT</t>
  </si>
  <si>
    <t>RUIZ NOAH RYAN</t>
  </si>
  <si>
    <t>Norwich Armory</t>
  </si>
  <si>
    <t>ROTC</t>
  </si>
  <si>
    <t>CPT</t>
  </si>
  <si>
    <t>HERRERA FREDDY</t>
  </si>
  <si>
    <t>Stone Ranch Military Reserve</t>
  </si>
  <si>
    <t>PV1</t>
  </si>
  <si>
    <t>CHARLESTON RICHIE SA</t>
  </si>
  <si>
    <t>Warrant Officers</t>
  </si>
  <si>
    <t>BCT</t>
  </si>
  <si>
    <t>SFC</t>
  </si>
  <si>
    <t>MARTOVICH RYAN</t>
  </si>
  <si>
    <t>Camp Nett</t>
  </si>
  <si>
    <t>SPC</t>
  </si>
  <si>
    <t>CARDENAS RIVALDO</t>
  </si>
  <si>
    <t>LANG AARON</t>
  </si>
  <si>
    <t>COLUMN TOTAL</t>
  </si>
  <si>
    <t>MEDINA JAELYNN</t>
  </si>
  <si>
    <t>STRENGOWSKI JENNA</t>
  </si>
  <si>
    <t>SSG</t>
  </si>
  <si>
    <t>GONZALEZ DANIEL</t>
  </si>
  <si>
    <t>MIRANDA JOSUE</t>
  </si>
  <si>
    <t>MONIZ RACHEL</t>
  </si>
  <si>
    <t>PFC</t>
  </si>
  <si>
    <t>ROPER JONATHAN</t>
  </si>
  <si>
    <t>MAPU VICTORIA STEPHA</t>
  </si>
  <si>
    <t>HEADCOUNT CHECK</t>
  </si>
  <si>
    <t>Enlisted (All)</t>
  </si>
  <si>
    <t>DEPLOYMENT</t>
  </si>
  <si>
    <t>CRUZ ELIZABETH</t>
  </si>
  <si>
    <t>DECARLI DANIEL ALLEN</t>
  </si>
  <si>
    <t>Total Present (Attendance Report)</t>
  </si>
  <si>
    <t>MAYORGRANFABIAN LAIS</t>
  </si>
  <si>
    <t>ALBINO JESSICA</t>
  </si>
  <si>
    <t>Enlisted (Non-AGR)</t>
  </si>
  <si>
    <t>SGT</t>
  </si>
  <si>
    <t>ADDAE CHRISTIAN</t>
  </si>
  <si>
    <t>BROWN DEYSHANAE KRI</t>
  </si>
  <si>
    <t>Off-Site Training</t>
  </si>
  <si>
    <t>ALT AT</t>
  </si>
  <si>
    <t>JARVIS STEPHANIE R</t>
  </si>
  <si>
    <t>PEREZ MONTERO ANDRE</t>
  </si>
  <si>
    <t>HUDSON ALDAINE</t>
  </si>
  <si>
    <t>PATERNITY LEAVE</t>
  </si>
  <si>
    <t>Total Entered (All Locations)</t>
  </si>
  <si>
    <t>SCHNEIDER CURTIS</t>
  </si>
  <si>
    <t>TOTAL</t>
  </si>
  <si>
    <t>KALSON JAKE</t>
  </si>
  <si>
    <t>LACEY LUKE</t>
  </si>
  <si>
    <t>HHC 192nd ENGINEER BATTALION — Drill Location Tracker</t>
  </si>
  <si>
    <t>VANDYKE RIGLEY</t>
  </si>
  <si>
    <t>Difference</t>
  </si>
  <si>
    <t>SUAZO ELVIS</t>
  </si>
  <si>
    <t>MSG</t>
  </si>
  <si>
    <t>SANTIAGO JOSE</t>
  </si>
  <si>
    <t>RESERVES TRANSFER</t>
  </si>
  <si>
    <t>AGR</t>
  </si>
  <si>
    <t>CALLAHAN MATTHEW</t>
  </si>
  <si>
    <t>EIKLEBERRY ADAM</t>
  </si>
  <si>
    <t>FAIL</t>
  </si>
  <si>
    <t>HUNDLEY JALEN ERIC</t>
  </si>
  <si>
    <t>ATTENDANCE vs LOCATION CHECK</t>
  </si>
  <si>
    <t>BISHOP JAMES P</t>
  </si>
  <si>
    <t>BOLC</t>
  </si>
  <si>
    <t>JARA JASON</t>
  </si>
  <si>
    <t>ROSE CHARLES NELSON</t>
  </si>
  <si>
    <t>BERNARD GORMAN</t>
  </si>
  <si>
    <t>Updates live from Attendance Report</t>
  </si>
  <si>
    <t>SCHOOL</t>
  </si>
  <si>
    <t>ROOT EVAN</t>
  </si>
  <si>
    <t>Cadet</t>
  </si>
  <si>
    <t>CST -&gt; DRUM</t>
  </si>
  <si>
    <t>CASO NATHAN</t>
  </si>
  <si>
    <t>Location totals must match Present count — highlighted RED if mismatch</t>
  </si>
  <si>
    <t>fleming</t>
  </si>
  <si>
    <t>CHONGCUY, LILIANA RIBE</t>
  </si>
  <si>
    <t>DONLON MATTHEW</t>
  </si>
  <si>
    <t>Metric</t>
  </si>
  <si>
    <t>Count</t>
  </si>
  <si>
    <t>SCORZELLI PETER Josep</t>
  </si>
  <si>
    <t>LONDON, STEVEN JOHN</t>
  </si>
  <si>
    <t>NIEWIAROWSKI, JOSEPH</t>
  </si>
  <si>
    <t>Total Assigned</t>
  </si>
  <si>
    <t>PARREIRA DANIEL</t>
  </si>
  <si>
    <t>VALENCIA FABIAN</t>
  </si>
  <si>
    <t>RSP</t>
  </si>
  <si>
    <t>HENRY STEPHON</t>
  </si>
  <si>
    <t>CAPORUSSO CAMERON</t>
  </si>
  <si>
    <t>Yes</t>
  </si>
  <si>
    <t>RUSSEL BRIAN</t>
  </si>
  <si>
    <t>OffIcer</t>
  </si>
  <si>
    <t>ZHANG RYAN</t>
  </si>
  <si>
    <t>CPL</t>
  </si>
  <si>
    <t>BROWN MICHAEL DAVID</t>
  </si>
  <si>
    <t>CROSSROADS</t>
  </si>
  <si>
    <t>RICH TIMOTHY D</t>
  </si>
  <si>
    <t>Total Present</t>
  </si>
  <si>
    <t>CW3</t>
  </si>
  <si>
    <t>DAVIS STEVEN</t>
  </si>
  <si>
    <t>Warrant Officer</t>
  </si>
  <si>
    <t>HODGES MARQUETTA</t>
  </si>
  <si>
    <t>SMITH CHAZ</t>
  </si>
  <si>
    <t>DWOMOH CHRISTIAN</t>
  </si>
  <si>
    <t>CODERO MARICELA</t>
  </si>
  <si>
    <t>Sick Call</t>
  </si>
  <si>
    <t>SURGERY 6/12/26</t>
  </si>
  <si>
    <t>JEANBAPTISE TAMIKA</t>
  </si>
  <si>
    <t>Totals match — all accounted for</t>
  </si>
  <si>
    <t>SUTA SAT ONLY</t>
  </si>
  <si>
    <t>SANDOVAL YAHAIRA</t>
  </si>
  <si>
    <t>Assigned to a Location</t>
  </si>
  <si>
    <t>PV2</t>
  </si>
  <si>
    <t>QUITVIZACA</t>
  </si>
  <si>
    <t>ARAGON VANESSA J</t>
  </si>
  <si>
    <t>Mismatch — totals do not equal Present count</t>
  </si>
  <si>
    <t>Unassigned (no location)</t>
  </si>
  <si>
    <t>TUCCI ALEXANDER L</t>
  </si>
  <si>
    <t>PETTWAY, JAYKWAN</t>
  </si>
  <si>
    <t>DELIMA NATHAN</t>
  </si>
  <si>
    <t>SCZYGIEL NATHAN DANIE</t>
  </si>
  <si>
    <t>Difference (Present − Location Total)</t>
  </si>
  <si>
    <t>COELHO KAIQUE DINIZ</t>
  </si>
  <si>
    <t>RIVERA JONATHAN</t>
  </si>
  <si>
    <t>SAETEROSENCALADA JO</t>
  </si>
  <si>
    <t>MELLAD DANE ALEXANDR</t>
  </si>
  <si>
    <t>Soldiers Present by Section at this Location</t>
  </si>
  <si>
    <t>IBARRA SHAWN</t>
  </si>
  <si>
    <t>Alt AT</t>
  </si>
  <si>
    <t>HORNUNG, ASHLEY MAE</t>
  </si>
  <si>
    <t>BRAVO NAYELLI</t>
  </si>
  <si>
    <t>MOLINASANDOVAL KARE</t>
  </si>
  <si>
    <t>Assigned to Location</t>
  </si>
  <si>
    <t>Present at Location</t>
  </si>
  <si>
    <t>CREAVEN NICHOLAS PAT</t>
  </si>
  <si>
    <t>DE LA CRUZ ANDERSON</t>
  </si>
  <si>
    <t>MESSONLOPEZ, TOMAS</t>
  </si>
  <si>
    <t>FIORENTINO RONALDO</t>
  </si>
  <si>
    <t>REYES REINALDO JUNIOR</t>
  </si>
  <si>
    <t>BREHMER JOHN</t>
  </si>
  <si>
    <t>DESGRAVES JEAN</t>
  </si>
  <si>
    <t>VASQUEZ FRANKLIN</t>
  </si>
  <si>
    <t>SMALL OMAR HAMILTON</t>
  </si>
  <si>
    <t>WO1</t>
  </si>
  <si>
    <t>HRIPAK ASHLEY ESTHER</t>
  </si>
  <si>
    <t>WOCS</t>
  </si>
  <si>
    <t>VENEGAS CHRISTIAN</t>
  </si>
  <si>
    <t>41/65</t>
  </si>
  <si>
    <t>FUMERAL HONORS</t>
  </si>
  <si>
    <t>ARANTEL</t>
  </si>
  <si>
    <t xml:space="preserve"> </t>
  </si>
  <si>
    <t>DESCOTEAUX, JOSHUA J</t>
  </si>
  <si>
    <t>HUNTE, JASON ISHMAEL</t>
  </si>
  <si>
    <t>SUTA FRI / ALT AT</t>
  </si>
  <si>
    <t>OCS</t>
  </si>
  <si>
    <t>CLEARANCE SUMMARY</t>
  </si>
  <si>
    <t>Auto-calculated from due dates</t>
  </si>
  <si>
    <t>Security Clearance — Form Update Tracker</t>
  </si>
  <si>
    <t>Active</t>
  </si>
  <si>
    <t>Overdue</t>
  </si>
  <si>
    <t>Due ≤ 90 Days</t>
  </si>
  <si>
    <t>Current</t>
  </si>
  <si>
    <t>Due within 90 days</t>
  </si>
  <si>
    <t>Complete</t>
  </si>
  <si>
    <t>N/A</t>
  </si>
  <si>
    <t>Eligibility</t>
  </si>
  <si>
    <t>Form Update Due</t>
  </si>
  <si>
    <t>Days Until Due</t>
  </si>
  <si>
    <t>PARREIRA DANIEL JORGE</t>
  </si>
  <si>
    <t>Secret</t>
  </si>
  <si>
    <t>Legal Paerwork Pending</t>
  </si>
  <si>
    <t>VASQUEZ FRANKLIN ALBERT</t>
  </si>
  <si>
    <t>EIKLEBERRY ADAM JOHN</t>
  </si>
  <si>
    <t>MEDINA JAELYNN SIERRA</t>
  </si>
  <si>
    <t>JEANBAPTISTE TAMIKA ANDREE</t>
  </si>
  <si>
    <t>working on it</t>
  </si>
  <si>
    <t>PEREZ MONTERO ANDREA CARLA</t>
  </si>
  <si>
    <t>last drill</t>
  </si>
  <si>
    <t>SUAZO ELVIS RAUL</t>
  </si>
  <si>
    <t>SCI-ICD704</t>
  </si>
  <si>
    <t>No</t>
  </si>
  <si>
    <t>DONLON MATTHEW THOMAS</t>
  </si>
  <si>
    <t>CASO NATHAN MARTIN</t>
  </si>
  <si>
    <t>JOSEPH ALLEN</t>
  </si>
  <si>
    <t>DWOMOHBARIMAH CHRISTIAN TABI</t>
  </si>
  <si>
    <t>MARTOVICH RYAN STEPHEN</t>
  </si>
  <si>
    <t>HORNUNG ASHLEY MAE JEANE</t>
  </si>
  <si>
    <t>WIP</t>
  </si>
  <si>
    <t>PETTWAY JAYKWAN</t>
  </si>
  <si>
    <t>OBRIEN BRENNAN MICHAEL</t>
  </si>
  <si>
    <t>BREHMER JOHN HENRY PAUL</t>
  </si>
  <si>
    <t>BRAVO NAYELLI SHIRLEY</t>
  </si>
  <si>
    <t>Venegas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</si>
</sst>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dd\-mmm\-yyyy"/>
    <numFmt numFmtId="166" formatCode="0&quot; days&quot;"/>
  </numFmts>
  <fonts count="21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6.0"/>
      <color rgb="FFFFFFFF"/>
      <name val="Arial"/>
    </font>
    <font>
      <b/>
      <sz val="15.0"/>
      <color rgb="FFFFFFFF"/>
      <name val="Arial"/>
    </font>
    <font>
      <color theme="1"/>
      <name val="Calibri"/>
      <scheme val="minor"/>
    </font>
    <font/>
    <font>
      <b/>
      <sz val="12.0"/>
      <color rgb="FFFFFFFF"/>
      <name val="Arial"/>
    </font>
    <font>
      <b/>
      <sz val="12.0"/>
      <color rgb="FF1F4E79"/>
      <name val="Arial"/>
    </font>
    <font>
      <b/>
      <sz val="11.0"/>
      <color rgb="FF1F4E79"/>
      <name val="Arial"/>
    </font>
    <font>
      <b/>
      <sz val="10.0"/>
      <color rgb="FF1F4E79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0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9.0"/>
      <color rgb="FF1F4E79"/>
      <name val="Arial"/>
    </font>
    <font>
      <b/>
      <color rgb="FFFFFFFF"/>
      <name val="Arial"/>
    </font>
    <font>
      <b/>
      <color theme="1"/>
      <name val="Arial"/>
    </font>
    <font>
      <strike/>
      <sz val="10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70AD47"/>
        <bgColor rgb="FF70AD47"/>
      </patternFill>
    </fill>
    <fill>
      <patternFill patternType="solid">
        <fgColor rgb="FFD9D9D9"/>
        <bgColor rgb="FFD9D9D9"/>
      </patternFill>
    </fill>
    <fill>
      <patternFill patternType="solid">
        <fgColor rgb="FFED7D31"/>
        <bgColor rgb="FFED7D31"/>
      </patternFill>
    </fill>
    <fill>
      <patternFill patternType="solid">
        <fgColor rgb="FFFF0000"/>
        <bgColor rgb="FFFF0000"/>
      </patternFill>
    </fill>
    <fill>
      <patternFill patternType="solid">
        <fgColor rgb="FFE8F0FE"/>
        <bgColor rgb="FFE8F0FE"/>
      </patternFill>
    </fill>
    <fill>
      <patternFill patternType="solid">
        <fgColor rgb="FFFFD966"/>
        <bgColor rgb="FFFFD966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theme="4"/>
        <bgColor theme="4"/>
      </patternFill>
    </fill>
    <fill>
      <patternFill patternType="solid">
        <fgColor rgb="FFFFF9C4"/>
        <bgColor rgb="FFFFF9C4"/>
      </patternFill>
    </fill>
    <fill>
      <patternFill patternType="solid">
        <fgColor rgb="FFFCE4EC"/>
        <bgColor rgb="FFFCE4EC"/>
      </patternFill>
    </fill>
    <fill>
      <patternFill patternType="solid">
        <fgColor rgb="FFE8EAF6"/>
        <bgColor rgb="FFE8EAF6"/>
      </patternFill>
    </fill>
    <fill>
      <patternFill patternType="solid">
        <fgColor rgb="FFFBE9E7"/>
        <bgColor rgb="FFFBE9E7"/>
      </patternFill>
    </fill>
    <fill>
      <patternFill patternType="solid">
        <fgColor rgb="FFC6EFCE"/>
        <bgColor rgb="FFC6EFCE"/>
      </patternFill>
    </fill>
  </fills>
  <borders count="18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bottom/>
    </border>
    <border>
      <right/>
      <top style="thin">
        <color rgb="FFAAAAAA"/>
      </top>
      <bottom style="thin">
        <color rgb="FFAAAAAA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right/>
      <top style="thin">
        <color rgb="FFAAAAAA"/>
      </top>
    </border>
    <border>
      <left style="thin">
        <color rgb="FFAAAAAA"/>
      </left>
      <bottom/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readingOrder="0"/>
    </xf>
    <xf borderId="2" fillId="0" fontId="5" numFmtId="0" xfId="0" applyBorder="1" applyFont="1"/>
    <xf borderId="0" fillId="0" fontId="4" numFmtId="164" xfId="0" applyAlignment="1" applyFont="1" applyNumberFormat="1">
      <alignment horizontal="center" readingOrder="0"/>
    </xf>
    <xf borderId="3" fillId="0" fontId="5" numFmtId="0" xfId="0" applyBorder="1" applyFont="1"/>
    <xf borderId="0" fillId="0" fontId="4" numFmtId="0" xfId="0" applyAlignment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6" fillId="2" fontId="6" numFmtId="0" xfId="0" applyAlignment="1" applyBorder="1" applyFill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0" fontId="4" numFmtId="0" xfId="0" applyAlignment="1" applyFont="1">
      <alignment horizontal="center"/>
    </xf>
    <xf borderId="10" fillId="3" fontId="7" numFmtId="0" xfId="0" applyAlignment="1" applyBorder="1" applyFill="1" applyFont="1">
      <alignment horizontal="center" readingOrder="0" vertical="center"/>
    </xf>
    <xf borderId="10" fillId="3" fontId="8" numFmtId="0" xfId="0" applyAlignment="1" applyBorder="1" applyFill="1" applyFont="1">
      <alignment horizontal="center" shrinkToFit="0" vertical="center" wrapText="0"/>
    </xf>
    <xf borderId="6" fillId="3" fontId="9" numFmtId="0" xfId="0" applyAlignment="1" applyBorder="1" applyFill="1" applyFont="1">
      <alignment horizontal="center" vertical="center"/>
    </xf>
    <xf borderId="11" fillId="0" fontId="5" numFmtId="0" xfId="0" applyBorder="1" applyFont="1"/>
    <xf borderId="0" fillId="0" fontId="1" numFmtId="164" xfId="0" applyAlignment="1" applyFont="1" applyNumberFormat="1">
      <alignment horizontal="center" readingOrder="0"/>
    </xf>
    <xf borderId="12" fillId="0" fontId="5" numFmtId="0" xfId="0" applyBorder="1" applyFont="1"/>
    <xf borderId="0" fillId="0" fontId="1" numFmtId="0" xfId="0" applyAlignment="1" applyFont="1">
      <alignment horizontal="center" readingOrder="0"/>
    </xf>
    <xf borderId="10" fillId="3" fontId="7" numFmtId="0" xfId="0" applyAlignment="1" applyBorder="1" applyFill="1" applyFont="1">
      <alignment horizontal="center" vertical="center"/>
    </xf>
    <xf borderId="13" fillId="2" fontId="10" numFmtId="0" xfId="0" applyAlignment="1" applyBorder="1" applyFill="1" applyFont="1">
      <alignment horizontal="center" vertical="center"/>
    </xf>
    <xf borderId="10" fillId="2" fontId="10" numFmtId="0" xfId="0" applyAlignment="1" applyBorder="1" applyFill="1" applyFont="1">
      <alignment horizontal="center" vertical="center"/>
    </xf>
    <xf borderId="13" fillId="4" fontId="11" numFmtId="0" xfId="0" applyBorder="1" applyFill="1" applyFont="1"/>
    <xf borderId="13" fillId="5" fontId="12" numFmtId="0" xfId="0" applyAlignment="1" applyBorder="1" applyFill="1" applyFont="1">
      <alignment horizontal="center" vertical="center"/>
    </xf>
    <xf borderId="13" fillId="0" fontId="13" numFmtId="0" xfId="0" applyAlignment="1" applyBorder="1" applyFont="1">
      <alignment horizontal="left" vertical="center"/>
    </xf>
    <xf borderId="13" fillId="6" fontId="11" numFmtId="0" xfId="0" applyBorder="1" applyFill="1" applyFont="1"/>
    <xf borderId="10" fillId="2" fontId="10" numFmtId="0" xfId="0" applyAlignment="1" applyBorder="1" applyFill="1" applyFont="1">
      <alignment horizontal="center" shrinkToFit="0" vertical="center" wrapText="0"/>
    </xf>
    <xf borderId="13" fillId="7" fontId="11" numFmtId="0" xfId="0" applyBorder="1" applyFill="1" applyFont="1"/>
    <xf borderId="13" fillId="2" fontId="14" numFmtId="0" xfId="0" applyAlignment="1" applyBorder="1" applyFill="1" applyFont="1">
      <alignment horizontal="center" vertical="center"/>
    </xf>
    <xf borderId="13" fillId="4" fontId="11" numFmtId="0" xfId="0" applyAlignment="1" applyBorder="1" applyFill="1" applyFont="1">
      <alignment shrinkToFit="0" vertical="bottom" wrapText="0"/>
    </xf>
    <xf borderId="13" fillId="2" fontId="14" numFmtId="0" xfId="0" applyAlignment="1" applyBorder="1" applyFill="1" applyFont="1">
      <alignment horizontal="center" readingOrder="0"/>
    </xf>
    <xf borderId="13" fillId="0" fontId="13" numFmtId="0" xfId="0" applyAlignment="1" applyBorder="1" applyFont="1">
      <alignment horizontal="left" shrinkToFit="0" vertical="center" wrapText="0"/>
    </xf>
    <xf borderId="13" fillId="7" fontId="11" numFmtId="0" xfId="0" applyAlignment="1" applyBorder="1" applyFill="1" applyFont="1">
      <alignment shrinkToFit="0" vertical="bottom" wrapText="0"/>
    </xf>
    <xf borderId="13" fillId="8" fontId="15" numFmtId="0" xfId="0" applyAlignment="1" applyBorder="1" applyFill="1" applyFont="1">
      <alignment horizontal="center" vertical="center"/>
    </xf>
    <xf borderId="13" fillId="9" fontId="11" numFmtId="0" xfId="0" applyAlignment="1" applyBorder="1" applyFill="1" applyFont="1">
      <alignment shrinkToFit="0" vertical="bottom" wrapText="0"/>
    </xf>
    <xf borderId="13" fillId="8" fontId="15" numFmtId="0" xfId="0" applyAlignment="1" applyBorder="1" applyFill="1" applyFont="1">
      <alignment horizontal="left" vertical="center"/>
    </xf>
    <xf borderId="10" fillId="10" fontId="10" numFmtId="0" xfId="0" applyAlignment="1" applyBorder="1" applyFill="1" applyFont="1">
      <alignment horizontal="center" shrinkToFit="0" vertical="center" wrapText="0"/>
    </xf>
    <xf borderId="13" fillId="8" fontId="15" numFmtId="0" xfId="0" applyAlignment="1" applyBorder="1" applyFill="1" applyFont="1">
      <alignment horizontal="center" readingOrder="0" vertical="center"/>
    </xf>
    <xf borderId="13" fillId="2" fontId="14" numFmtId="0" xfId="0" applyAlignment="1" applyBorder="1" applyFill="1" applyFont="1">
      <alignment horizontal="center" shrinkToFit="0" vertical="center" wrapText="0"/>
    </xf>
    <xf borderId="13" fillId="2" fontId="10" numFmtId="0" xfId="0" applyAlignment="1" applyBorder="1" applyFill="1" applyFont="1">
      <alignment horizontal="center" shrinkToFit="0" vertical="center" wrapText="0"/>
    </xf>
    <xf borderId="13" fillId="0" fontId="11" numFmtId="0" xfId="0" applyAlignment="1" applyBorder="1" applyFont="1">
      <alignment readingOrder="0"/>
    </xf>
    <xf borderId="13" fillId="0" fontId="12" numFmtId="0" xfId="0" applyAlignment="1" applyBorder="1" applyFont="1">
      <alignment horizontal="center" vertical="center"/>
    </xf>
    <xf borderId="13" fillId="10" fontId="10" numFmtId="0" xfId="0" applyAlignment="1" applyBorder="1" applyFill="1" applyFont="1">
      <alignment horizontal="center" shrinkToFit="0" vertical="center" wrapText="0"/>
    </xf>
    <xf borderId="13" fillId="8" fontId="15" numFmtId="0" xfId="0" applyAlignment="1" applyBorder="1" applyFill="1" applyFont="1">
      <alignment horizontal="left" readingOrder="0" vertical="center"/>
    </xf>
    <xf borderId="13" fillId="8" fontId="13" numFmtId="0" xfId="0" applyAlignment="1" applyBorder="1" applyFill="1" applyFont="1">
      <alignment horizontal="left" shrinkToFit="0" vertical="center" wrapText="0"/>
    </xf>
    <xf borderId="13" fillId="11" fontId="16" numFmtId="0" xfId="0" applyAlignment="1" applyBorder="1" applyFill="1" applyFont="1">
      <alignment horizontal="center" readingOrder="0" shrinkToFit="0" vertical="center" wrapText="0"/>
    </xf>
    <xf borderId="13" fillId="12" fontId="15" numFmtId="0" xfId="0" applyAlignment="1" applyBorder="1" applyFill="1" applyFont="1">
      <alignment horizontal="center" vertical="center"/>
    </xf>
    <xf borderId="13" fillId="12" fontId="15" numFmtId="0" xfId="0" applyAlignment="1" applyBorder="1" applyFill="1" applyFont="1">
      <alignment horizontal="left" vertical="center"/>
    </xf>
    <xf borderId="13" fillId="12" fontId="15" numFmtId="0" xfId="0" applyAlignment="1" applyBorder="1" applyFill="1" applyFont="1">
      <alignment horizontal="center" readingOrder="0" vertical="center"/>
    </xf>
    <xf borderId="13" fillId="3" fontId="8" numFmtId="0" xfId="0" applyAlignment="1" applyBorder="1" applyFill="1" applyFont="1">
      <alignment horizontal="center" shrinkToFit="0" vertical="center" wrapText="0"/>
    </xf>
    <xf borderId="13" fillId="12" fontId="13" numFmtId="0" xfId="0" applyAlignment="1" applyBorder="1" applyFill="1" applyFont="1">
      <alignment horizontal="left" shrinkToFit="0" vertical="center" wrapText="0"/>
    </xf>
    <xf borderId="13" fillId="13" fontId="13" numFmtId="0" xfId="0" applyAlignment="1" applyBorder="1" applyFill="1" applyFont="1">
      <alignment horizontal="left" shrinkToFit="0" vertical="center" wrapText="0"/>
    </xf>
    <xf borderId="13" fillId="0" fontId="12" numFmtId="9" xfId="0" applyAlignment="1" applyBorder="1" applyFont="1" applyNumberFormat="1">
      <alignment horizontal="center" vertical="center"/>
    </xf>
    <xf borderId="13" fillId="12" fontId="15" numFmtId="0" xfId="0" applyAlignment="1" applyBorder="1" applyFill="1" applyFont="1">
      <alignment horizontal="left" readingOrder="0" vertical="center"/>
    </xf>
    <xf borderId="13" fillId="14" fontId="13" numFmtId="0" xfId="0" applyAlignment="1" applyBorder="1" applyFill="1" applyFont="1">
      <alignment horizontal="left" shrinkToFit="0" vertical="center" wrapText="0"/>
    </xf>
    <xf borderId="13" fillId="15" fontId="13" numFmtId="0" xfId="0" applyAlignment="1" applyBorder="1" applyFill="1" applyFont="1">
      <alignment horizontal="left" shrinkToFit="0" vertical="center" wrapText="0"/>
    </xf>
    <xf borderId="13" fillId="13" fontId="15" numFmtId="0" xfId="0" applyAlignment="1" applyBorder="1" applyFill="1" applyFont="1">
      <alignment horizontal="center" vertical="center"/>
    </xf>
    <xf borderId="13" fillId="16" fontId="7" numFmtId="0" xfId="0" applyAlignment="1" applyBorder="1" applyFill="1" applyFont="1">
      <alignment horizontal="center" shrinkToFit="0" vertical="center" wrapText="0"/>
    </xf>
    <xf borderId="13" fillId="13" fontId="15" numFmtId="0" xfId="0" applyAlignment="1" applyBorder="1" applyFill="1" applyFont="1">
      <alignment horizontal="left" vertical="center"/>
    </xf>
    <xf borderId="13" fillId="13" fontId="15" numFmtId="0" xfId="0" applyAlignment="1" applyBorder="1" applyFill="1" applyFont="1">
      <alignment horizontal="center" readingOrder="0" vertical="center"/>
    </xf>
    <xf borderId="10" fillId="2" fontId="6" numFmtId="0" xfId="0" applyAlignment="1" applyBorder="1" applyFill="1" applyFont="1">
      <alignment horizontal="center" shrinkToFit="0" vertical="center" wrapText="0"/>
    </xf>
    <xf borderId="13" fillId="13" fontId="15" numFmtId="0" xfId="0" applyAlignment="1" applyBorder="1" applyFill="1" applyFont="1">
      <alignment horizontal="left" readingOrder="0" vertical="center"/>
    </xf>
    <xf borderId="6" fillId="5" fontId="13" numFmtId="0" xfId="0" applyAlignment="1" applyBorder="1" applyFill="1" applyFont="1">
      <alignment horizontal="left" shrinkToFit="0" vertical="center" wrapText="0"/>
    </xf>
    <xf borderId="13" fillId="5" fontId="16" numFmtId="0" xfId="0" applyAlignment="1" applyBorder="1" applyFill="1" applyFont="1">
      <alignment horizontal="center" shrinkToFit="0" vertical="center" wrapText="0"/>
    </xf>
    <xf borderId="13" fillId="3" fontId="8" numFmtId="0" xfId="0" applyAlignment="1" applyBorder="1" applyFill="1" applyFont="1">
      <alignment horizontal="center" vertical="center"/>
    </xf>
    <xf borderId="13" fillId="17" fontId="15" numFmtId="0" xfId="0" applyAlignment="1" applyBorder="1" applyFill="1" applyFont="1">
      <alignment horizontal="center" vertical="center"/>
    </xf>
    <xf borderId="13" fillId="17" fontId="15" numFmtId="0" xfId="0" applyAlignment="1" applyBorder="1" applyFill="1" applyFont="1">
      <alignment horizontal="left" vertical="center"/>
    </xf>
    <xf borderId="13" fillId="17" fontId="15" numFmtId="0" xfId="0" applyAlignment="1" applyBorder="1" applyFill="1" applyFont="1">
      <alignment horizontal="center" readingOrder="0" vertical="center"/>
    </xf>
    <xf borderId="13" fillId="17" fontId="15" numFmtId="0" xfId="0" applyAlignment="1" applyBorder="1" applyFill="1" applyFont="1">
      <alignment horizontal="left" readingOrder="0" vertical="center"/>
    </xf>
    <xf borderId="14" fillId="2" fontId="3" numFmtId="0" xfId="0" applyAlignment="1" applyBorder="1" applyFill="1" applyFont="1">
      <alignment horizontal="center"/>
    </xf>
    <xf borderId="13" fillId="3" fontId="8" numFmtId="9" xfId="0" applyAlignment="1" applyBorder="1" applyFill="1" applyFont="1" applyNumberFormat="1">
      <alignment horizontal="center" vertical="center"/>
    </xf>
    <xf borderId="15" fillId="0" fontId="5" numFmtId="0" xfId="0" applyBorder="1" applyFont="1"/>
    <xf borderId="16" fillId="0" fontId="5" numFmtId="0" xfId="0" applyBorder="1" applyFont="1"/>
    <xf borderId="13" fillId="2" fontId="14" numFmtId="0" xfId="0" applyAlignment="1" applyBorder="1" applyFill="1" applyFont="1">
      <alignment horizontal="center"/>
    </xf>
    <xf borderId="6" fillId="2" fontId="6" numFmtId="0" xfId="0" applyAlignment="1" applyBorder="1" applyFill="1" applyFont="1">
      <alignment horizontal="center"/>
    </xf>
    <xf borderId="13" fillId="18" fontId="15" numFmtId="0" xfId="0" applyAlignment="1" applyBorder="1" applyFill="1" applyFont="1">
      <alignment horizontal="center" vertical="center"/>
    </xf>
    <xf borderId="0" fillId="0" fontId="11" numFmtId="0" xfId="0" applyAlignment="1" applyFont="1">
      <alignment vertical="bottom"/>
    </xf>
    <xf borderId="13" fillId="18" fontId="15" numFmtId="0" xfId="0" applyAlignment="1" applyBorder="1" applyFill="1" applyFont="1">
      <alignment horizontal="left" vertical="center"/>
    </xf>
    <xf borderId="13" fillId="18" fontId="15" numFmtId="0" xfId="0" applyAlignment="1" applyBorder="1" applyFill="1" applyFont="1">
      <alignment horizontal="center" readingOrder="0" vertical="center"/>
    </xf>
    <xf borderId="17" fillId="0" fontId="5" numFmtId="0" xfId="0" applyBorder="1" applyFont="1"/>
    <xf borderId="13" fillId="18" fontId="15" numFmtId="0" xfId="0" applyAlignment="1" applyBorder="1" applyFill="1" applyFont="1">
      <alignment horizontal="left" readingOrder="0" vertical="center"/>
    </xf>
    <xf borderId="6" fillId="3" fontId="17" numFmtId="0" xfId="0" applyAlignment="1" applyBorder="1" applyFill="1" applyFont="1">
      <alignment horizontal="center"/>
    </xf>
    <xf borderId="6" fillId="3" fontId="8" numFmtId="0" xfId="0" applyAlignment="1" applyBorder="1" applyFill="1" applyFont="1">
      <alignment horizontal="center"/>
    </xf>
    <xf borderId="13" fillId="2" fontId="18" numFmtId="0" xfId="0" applyAlignment="1" applyBorder="1" applyFill="1" applyFont="1">
      <alignment horizontal="center"/>
    </xf>
    <xf borderId="13" fillId="5" fontId="19" numFmtId="0" xfId="0" applyBorder="1" applyFill="1" applyFont="1"/>
    <xf borderId="13" fillId="5" fontId="19" numFmtId="0" xfId="0" applyAlignment="1" applyBorder="1" applyFill="1" applyFont="1">
      <alignment horizontal="center"/>
    </xf>
    <xf borderId="13" fillId="19" fontId="15" numFmtId="0" xfId="0" applyAlignment="1" applyBorder="1" applyFill="1" applyFont="1">
      <alignment horizontal="center" vertical="center"/>
    </xf>
    <xf borderId="13" fillId="19" fontId="15" numFmtId="0" xfId="0" applyAlignment="1" applyBorder="1" applyFill="1" applyFont="1">
      <alignment horizontal="left" vertical="center"/>
    </xf>
    <xf borderId="13" fillId="19" fontId="15" numFmtId="0" xfId="0" applyAlignment="1" applyBorder="1" applyFill="1" applyFont="1">
      <alignment horizontal="center" readingOrder="0" vertical="center"/>
    </xf>
    <xf borderId="6" fillId="2" fontId="18" numFmtId="0" xfId="0" applyAlignment="1" applyBorder="1" applyFill="1" applyFont="1">
      <alignment horizontal="center"/>
    </xf>
    <xf borderId="13" fillId="19" fontId="15" numFmtId="0" xfId="0" applyAlignment="1" applyBorder="1" applyFill="1" applyFont="1">
      <alignment horizontal="left" readingOrder="0" vertical="center"/>
    </xf>
    <xf borderId="13" fillId="4" fontId="11" numFmtId="0" xfId="0" applyAlignment="1" applyBorder="1" applyFill="1" applyFont="1">
      <alignment vertical="bottom"/>
    </xf>
    <xf borderId="13" fillId="0" fontId="19" numFmtId="0" xfId="0" applyBorder="1" applyFont="1"/>
    <xf borderId="13" fillId="14" fontId="15" numFmtId="0" xfId="0" applyAlignment="1" applyBorder="1" applyFill="1" applyFont="1">
      <alignment horizontal="center" vertical="center"/>
    </xf>
    <xf borderId="13" fillId="7" fontId="11" numFmtId="0" xfId="0" applyAlignment="1" applyBorder="1" applyFill="1" applyFont="1">
      <alignment vertical="bottom"/>
    </xf>
    <xf borderId="13" fillId="14" fontId="15" numFmtId="0" xfId="0" applyAlignment="1" applyBorder="1" applyFill="1" applyFont="1">
      <alignment horizontal="left" vertical="center"/>
    </xf>
    <xf borderId="13" fillId="14" fontId="15" numFmtId="0" xfId="0" applyAlignment="1" applyBorder="1" applyFill="1" applyFont="1">
      <alignment horizontal="center" readingOrder="0" vertical="center"/>
    </xf>
    <xf borderId="13" fillId="14" fontId="15" numFmtId="0" xfId="0" applyAlignment="1" applyBorder="1" applyFill="1" applyFont="1">
      <alignment horizontal="left" readingOrder="0" vertical="center"/>
    </xf>
    <xf borderId="13" fillId="4" fontId="19" numFmtId="0" xfId="0" applyBorder="1" applyFill="1" applyFont="1"/>
    <xf borderId="13" fillId="4" fontId="19" numFmtId="0" xfId="0" applyAlignment="1" applyBorder="1" applyFill="1" applyFont="1">
      <alignment horizontal="center"/>
    </xf>
    <xf borderId="13" fillId="20" fontId="15" numFmtId="0" xfId="0" applyAlignment="1" applyBorder="1" applyFill="1" applyFont="1">
      <alignment horizontal="center" vertical="center"/>
    </xf>
    <xf borderId="13" fillId="20" fontId="15" numFmtId="0" xfId="0" applyAlignment="1" applyBorder="1" applyFill="1" applyFont="1">
      <alignment horizontal="left" vertical="center"/>
    </xf>
    <xf borderId="13" fillId="20" fontId="15" numFmtId="0" xfId="0" applyAlignment="1" applyBorder="1" applyFill="1" applyFont="1">
      <alignment horizontal="center" readingOrder="0" vertical="center"/>
    </xf>
    <xf borderId="6" fillId="10" fontId="18" numFmtId="0" xfId="0" applyAlignment="1" applyBorder="1" applyFill="1" applyFont="1">
      <alignment horizontal="center"/>
    </xf>
    <xf borderId="13" fillId="2" fontId="18" numFmtId="0" xfId="0" applyAlignment="1" applyBorder="1" applyFill="1" applyFont="1">
      <alignment horizontal="center" shrinkToFit="0" wrapText="1"/>
    </xf>
    <xf borderId="13" fillId="15" fontId="15" numFmtId="0" xfId="0" applyAlignment="1" applyBorder="1" applyFill="1" applyFont="1">
      <alignment horizontal="center" vertical="center"/>
    </xf>
    <xf borderId="13" fillId="8" fontId="19" numFmtId="0" xfId="0" applyBorder="1" applyFill="1" applyFont="1"/>
    <xf borderId="13" fillId="15" fontId="15" numFmtId="0" xfId="0" applyAlignment="1" applyBorder="1" applyFill="1" applyFont="1">
      <alignment horizontal="left" vertical="center"/>
    </xf>
    <xf borderId="13" fillId="15" fontId="15" numFmtId="0" xfId="0" applyAlignment="1" applyBorder="1" applyFill="1" applyFont="1">
      <alignment horizontal="center" readingOrder="0" vertical="center"/>
    </xf>
    <xf borderId="13" fillId="8" fontId="19" numFmtId="0" xfId="0" applyAlignment="1" applyBorder="1" applyFill="1" applyFont="1">
      <alignment horizontal="center"/>
    </xf>
    <xf borderId="13" fillId="8" fontId="19" numFmtId="0" xfId="0" applyAlignment="1" applyBorder="1" applyFill="1" applyFont="1">
      <alignment horizontal="center"/>
    </xf>
    <xf borderId="13" fillId="15" fontId="15" numFmtId="0" xfId="0" applyAlignment="1" applyBorder="1" applyFill="1" applyFont="1">
      <alignment horizontal="left" readingOrder="0" vertical="center"/>
    </xf>
    <xf borderId="13" fillId="12" fontId="19" numFmtId="0" xfId="0" applyBorder="1" applyFill="1" applyFont="1"/>
    <xf borderId="13" fillId="12" fontId="19" numFmtId="0" xfId="0" applyAlignment="1" applyBorder="1" applyFill="1" applyFont="1">
      <alignment horizontal="center"/>
    </xf>
    <xf borderId="13" fillId="20" fontId="15" numFmtId="0" xfId="0" applyAlignment="1" applyBorder="1" applyFill="1" applyFont="1">
      <alignment horizontal="left" readingOrder="0" vertical="center"/>
    </xf>
    <xf borderId="10" fillId="2" fontId="6" numFmtId="0" xfId="0" applyAlignment="1" applyBorder="1" applyFill="1" applyFont="1">
      <alignment horizontal="center" vertical="center"/>
    </xf>
    <xf borderId="10" fillId="3" fontId="17" numFmtId="0" xfId="0" applyAlignment="1" applyBorder="1" applyFill="1" applyFont="1">
      <alignment horizontal="center" vertical="center"/>
    </xf>
    <xf borderId="13" fillId="13" fontId="19" numFmtId="0" xfId="0" applyBorder="1" applyFill="1" applyFont="1"/>
    <xf borderId="13" fillId="13" fontId="19" numFmtId="0" xfId="0" applyAlignment="1" applyBorder="1" applyFill="1" applyFont="1">
      <alignment horizontal="center"/>
    </xf>
    <xf borderId="13" fillId="9" fontId="11" numFmtId="0" xfId="0" applyBorder="1" applyFill="1" applyFont="1"/>
    <xf borderId="13" fillId="21" fontId="11" numFmtId="0" xfId="0" applyBorder="1" applyFill="1" applyFont="1"/>
    <xf borderId="13" fillId="3" fontId="9" numFmtId="0" xfId="0" applyAlignment="1" applyBorder="1" applyFill="1" applyFont="1">
      <alignment horizontal="center" vertical="center"/>
    </xf>
    <xf borderId="13" fillId="14" fontId="19" numFmtId="0" xfId="0" applyBorder="1" applyFill="1" applyFont="1"/>
    <xf borderId="13" fillId="14" fontId="19" numFmtId="0" xfId="0" applyAlignment="1" applyBorder="1" applyFill="1" applyFont="1">
      <alignment horizontal="center"/>
    </xf>
    <xf borderId="13" fillId="0" fontId="15" numFmtId="0" xfId="0" applyAlignment="1" applyBorder="1" applyFont="1">
      <alignment horizontal="left" vertical="center"/>
    </xf>
    <xf borderId="13" fillId="0" fontId="15" numFmtId="0" xfId="0" applyAlignment="1" applyBorder="1" applyFont="1">
      <alignment horizontal="center" vertical="center"/>
    </xf>
    <xf borderId="13" fillId="0" fontId="15" numFmtId="165" xfId="0" applyAlignment="1" applyBorder="1" applyFont="1" applyNumberFormat="1">
      <alignment horizontal="center" vertical="center"/>
    </xf>
    <xf borderId="13" fillId="0" fontId="15" numFmtId="166" xfId="0" applyAlignment="1" applyBorder="1" applyFont="1" applyNumberFormat="1">
      <alignment horizontal="center" vertical="center"/>
    </xf>
    <xf borderId="13" fillId="0" fontId="15" numFmtId="0" xfId="0" applyAlignment="1" applyBorder="1" applyFont="1">
      <alignment horizontal="left" readingOrder="0" vertical="center"/>
    </xf>
    <xf borderId="13" fillId="0" fontId="20" numFmtId="0" xfId="0" applyAlignment="1" applyBorder="1" applyFont="1">
      <alignment horizontal="left" vertical="center"/>
    </xf>
    <xf borderId="13" fillId="0" fontId="20" numFmtId="0" xfId="0" applyAlignment="1" applyBorder="1" applyFont="1">
      <alignment horizontal="center" vertical="center"/>
    </xf>
    <xf borderId="13" fillId="0" fontId="20" numFmtId="165" xfId="0" applyAlignment="1" applyBorder="1" applyFont="1" applyNumberFormat="1">
      <alignment horizontal="center" vertical="center"/>
    </xf>
    <xf borderId="13" fillId="0" fontId="15" numFmtId="0" xfId="0" applyAlignment="1" applyBorder="1" applyFont="1">
      <alignment horizontal="center" readingOrder="0" vertical="center"/>
    </xf>
    <xf borderId="13" fillId="15" fontId="19" numFmtId="0" xfId="0" applyBorder="1" applyFill="1" applyFont="1"/>
    <xf borderId="13" fillId="15" fontId="19" numFmtId="0" xfId="0" applyAlignment="1" applyBorder="1" applyFill="1" applyFont="1">
      <alignment horizontal="center"/>
    </xf>
    <xf borderId="13" fillId="3" fontId="8" numFmtId="0" xfId="0" applyAlignment="1" applyBorder="1" applyFill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ED7D31"/>
          <bgColor rgb="FFED7D31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28.0"/>
    <col customWidth="1" min="4" max="4" width="14.0"/>
    <col customWidth="1" min="5" max="5" width="8.71"/>
    <col customWidth="1" min="6" max="6" width="18.0"/>
    <col customWidth="1" min="7" max="7" width="22.0"/>
    <col customWidth="1" min="8" max="8" width="18.43"/>
    <col customWidth="1" min="9" max="9" width="20.0"/>
    <col customWidth="1" min="10" max="11" width="9.0"/>
    <col customWidth="1" min="12" max="12" width="11.0"/>
    <col customWidth="1" min="13" max="26" width="8.57"/>
  </cols>
  <sheetData>
    <row r="1" ht="27.75" customHeight="1">
      <c r="A1" s="2" t="s">
        <v>0</v>
      </c>
      <c r="B1" s="5"/>
      <c r="C1" s="5"/>
      <c r="D1" s="5"/>
      <c r="E1" s="5"/>
      <c r="F1" s="5"/>
      <c r="G1" s="7"/>
      <c r="I1" s="11" t="s">
        <v>11</v>
      </c>
      <c r="J1" s="12"/>
      <c r="K1" s="12"/>
      <c r="L1" s="14"/>
    </row>
    <row r="2" ht="14.25" customHeight="1">
      <c r="A2" s="9"/>
      <c r="B2" s="10"/>
      <c r="C2" s="10"/>
      <c r="D2" s="10"/>
      <c r="E2" s="10"/>
      <c r="F2" s="10"/>
      <c r="G2" s="13"/>
      <c r="I2" s="18" t="s">
        <v>23</v>
      </c>
      <c r="J2" s="12"/>
      <c r="K2" s="12"/>
      <c r="L2" s="14"/>
    </row>
    <row r="3" ht="18.0" customHeight="1">
      <c r="A3" s="23" t="s">
        <v>30</v>
      </c>
      <c r="B3" s="19"/>
      <c r="C3" s="19"/>
      <c r="D3" s="19"/>
      <c r="E3" s="19"/>
      <c r="F3" s="19"/>
      <c r="G3" s="21"/>
      <c r="I3" s="24" t="s">
        <v>34</v>
      </c>
      <c r="J3" s="24" t="s">
        <v>36</v>
      </c>
      <c r="K3" s="24" t="s">
        <v>37</v>
      </c>
      <c r="L3" s="24" t="s">
        <v>38</v>
      </c>
    </row>
    <row r="4" ht="14.25" customHeight="1">
      <c r="I4" s="27" t="s">
        <v>39</v>
      </c>
      <c r="J4" s="45">
        <f>COUNTIF(B10:B94,"2LT")+COUNTIF(B10:B94,"1LT")+COUNTIF(B10:B94,"CPT")+COUNTIF(B10:B94,"MAJ")+COUNTIF(B10:B94,"LTC")+COUNTIF(B10:B94,"COL")+COUNTIF(B10:B94,"CDT")</f>
        <v>25</v>
      </c>
      <c r="K4" s="45">
        <f>COUNTIFS(B10:B94,"2LT",F10:F94,"Present")+COUNTIFS(B10:B94,"1LT",F10:F94,"Present")+COUNTIFS(B10:B94,"CPT",F10:F94,"Present")+COUNTIFS(B10:B94,"MAJ",F10:F94,"Present")+COUNTIFS(B10:B94,"LTC",F10:F94,"Present")+COUNTIFS(B10:B94,"COL",F10:F94,"Present")+COUNTIFS(B10:B94,"CDT",F10:F94,"Present")</f>
        <v>18</v>
      </c>
      <c r="L4" s="56">
        <f t="shared" ref="L4:L8" si="1">IF(J4=0,0,K4/J4)</f>
        <v>0.72</v>
      </c>
    </row>
    <row r="5" ht="14.25" customHeight="1">
      <c r="A5" s="25" t="s">
        <v>35</v>
      </c>
      <c r="B5" s="21"/>
      <c r="I5" s="27" t="s">
        <v>87</v>
      </c>
      <c r="J5" s="45">
        <f>COUNTIF(B10:B94,"WO1")+COUNTIF(B10:B94,"CW2")+COUNTIF(B10:B94,"CW3")+COUNTIF(B10:B94,"CW4")+COUNTIF(B10:B94,"CW5")</f>
        <v>2</v>
      </c>
      <c r="K5" s="45">
        <f>COUNTIFS(B10:B94,"WO1",F10:F94,"Present")+COUNTIFS(B10:B94,"CW2",F10:F94,"Present")+COUNTIFS(B10:B94,"CW3",F10:F94,"Present")+COUNTIFS(B10:B94,"CW4",F10:F94,"Present")+COUNTIFS(B10:B94,"CW5",F10:F94,"Present")</f>
        <v>1</v>
      </c>
      <c r="L5" s="56">
        <f t="shared" si="1"/>
        <v>0.5</v>
      </c>
    </row>
    <row r="6" ht="15.75" customHeight="1">
      <c r="A6" s="26"/>
      <c r="B6" s="28" t="s">
        <v>37</v>
      </c>
      <c r="I6" s="27" t="s">
        <v>106</v>
      </c>
      <c r="J6" s="45">
        <f>COUNTA(B10:B94)-J4-J5</f>
        <v>58</v>
      </c>
      <c r="K6" s="45">
        <f>COUNTIF(F10:F94,"Present")-K4-K5</f>
        <v>46</v>
      </c>
      <c r="L6" s="56">
        <f t="shared" si="1"/>
        <v>0.7931034483</v>
      </c>
    </row>
    <row r="7" ht="15.75" customHeight="1">
      <c r="A7" s="29"/>
      <c r="B7" s="28" t="s">
        <v>41</v>
      </c>
      <c r="I7" s="27" t="s">
        <v>113</v>
      </c>
      <c r="J7" s="45">
        <f>COUNTIFS(D10:D94,"Enlisted",E10:E94,"&lt;&gt;Yes")</f>
        <v>51</v>
      </c>
      <c r="K7" s="45">
        <f>COUNTIFS(D10:D94,"Enlisted",E10:E94,"&lt;&gt;Yes",F10:F94,"Present")</f>
        <v>39</v>
      </c>
      <c r="L7" s="56">
        <f t="shared" si="1"/>
        <v>0.7647058824</v>
      </c>
    </row>
    <row r="8" ht="15.75" customHeight="1">
      <c r="A8" s="31"/>
      <c r="B8" s="28" t="s">
        <v>42</v>
      </c>
      <c r="I8" s="68" t="s">
        <v>125</v>
      </c>
      <c r="J8" s="68">
        <f>COUNTA(B10:B94)</f>
        <v>85</v>
      </c>
      <c r="K8" s="68">
        <f>COUNTIF(F10:F94,"Present")</f>
        <v>65</v>
      </c>
      <c r="L8" s="74">
        <f t="shared" si="1"/>
        <v>0.7647058824</v>
      </c>
    </row>
    <row r="9" ht="19.5" customHeight="1">
      <c r="A9" s="32" t="s">
        <v>2</v>
      </c>
      <c r="B9" s="32" t="s">
        <v>43</v>
      </c>
      <c r="C9" s="32" t="s">
        <v>44</v>
      </c>
      <c r="D9" s="32" t="s">
        <v>34</v>
      </c>
      <c r="E9" s="32" t="s">
        <v>135</v>
      </c>
      <c r="F9" s="32" t="s">
        <v>45</v>
      </c>
      <c r="G9" s="32" t="s">
        <v>46</v>
      </c>
      <c r="H9" s="77" t="s">
        <v>56</v>
      </c>
    </row>
    <row r="10" ht="15.75" customHeight="1">
      <c r="A10" s="37" t="s">
        <v>49</v>
      </c>
      <c r="B10" s="37" t="s">
        <v>51</v>
      </c>
      <c r="C10" s="39" t="s">
        <v>52</v>
      </c>
      <c r="D10" s="37" t="s">
        <v>54</v>
      </c>
      <c r="E10" s="37"/>
      <c r="F10" s="41" t="s">
        <v>37</v>
      </c>
      <c r="G10" s="39"/>
      <c r="H10" s="44" t="s">
        <v>66</v>
      </c>
    </row>
    <row r="11" ht="15.75" customHeight="1">
      <c r="A11" s="37" t="s">
        <v>49</v>
      </c>
      <c r="B11" s="37" t="s">
        <v>57</v>
      </c>
      <c r="C11" s="39" t="s">
        <v>58</v>
      </c>
      <c r="D11" s="37" t="s">
        <v>59</v>
      </c>
      <c r="E11" s="37"/>
      <c r="F11" s="41" t="s">
        <v>37</v>
      </c>
      <c r="G11" s="39"/>
      <c r="H11" s="44" t="s">
        <v>66</v>
      </c>
    </row>
    <row r="12" ht="15.75" customHeight="1">
      <c r="A12" s="37" t="s">
        <v>49</v>
      </c>
      <c r="B12" s="37" t="s">
        <v>61</v>
      </c>
      <c r="C12" s="39" t="s">
        <v>62</v>
      </c>
      <c r="D12" s="37" t="s">
        <v>59</v>
      </c>
      <c r="E12" s="37"/>
      <c r="F12" s="41" t="s">
        <v>117</v>
      </c>
      <c r="G12" s="47" t="s">
        <v>150</v>
      </c>
      <c r="H12" s="44" t="s">
        <v>66</v>
      </c>
    </row>
    <row r="13" ht="15.75" customHeight="1">
      <c r="A13" s="37" t="s">
        <v>49</v>
      </c>
      <c r="B13" s="37" t="s">
        <v>61</v>
      </c>
      <c r="C13" s="39" t="s">
        <v>67</v>
      </c>
      <c r="D13" s="37" t="s">
        <v>59</v>
      </c>
      <c r="E13" s="37"/>
      <c r="F13" s="41" t="s">
        <v>37</v>
      </c>
      <c r="G13" s="39"/>
      <c r="H13" s="44" t="s">
        <v>66</v>
      </c>
    </row>
    <row r="14" ht="15.75" customHeight="1">
      <c r="A14" s="41" t="s">
        <v>49</v>
      </c>
      <c r="B14" s="41" t="s">
        <v>61</v>
      </c>
      <c r="C14" s="47" t="s">
        <v>153</v>
      </c>
      <c r="D14" s="41" t="s">
        <v>59</v>
      </c>
      <c r="E14" s="37"/>
      <c r="F14" s="41" t="s">
        <v>37</v>
      </c>
      <c r="G14" s="39"/>
      <c r="H14" s="44" t="s">
        <v>66</v>
      </c>
    </row>
    <row r="15" ht="15.75" customHeight="1">
      <c r="A15" s="50" t="s">
        <v>8</v>
      </c>
      <c r="B15" s="50" t="s">
        <v>68</v>
      </c>
      <c r="C15" s="51" t="s">
        <v>69</v>
      </c>
      <c r="D15" s="50" t="s">
        <v>59</v>
      </c>
      <c r="E15" s="50"/>
      <c r="F15" s="52" t="s">
        <v>37</v>
      </c>
      <c r="G15" s="51"/>
      <c r="H15" s="44" t="s">
        <v>66</v>
      </c>
    </row>
    <row r="16" ht="15.75" customHeight="1">
      <c r="A16" s="50" t="s">
        <v>8</v>
      </c>
      <c r="B16" s="50" t="s">
        <v>71</v>
      </c>
      <c r="C16" s="51" t="s">
        <v>72</v>
      </c>
      <c r="D16" s="50" t="s">
        <v>54</v>
      </c>
      <c r="E16" s="50"/>
      <c r="F16" s="52" t="s">
        <v>37</v>
      </c>
      <c r="G16" s="51"/>
      <c r="H16" s="44" t="s">
        <v>66</v>
      </c>
    </row>
    <row r="17" ht="15.75" customHeight="1">
      <c r="A17" s="52" t="s">
        <v>18</v>
      </c>
      <c r="B17" s="50" t="s">
        <v>73</v>
      </c>
      <c r="C17" s="51" t="s">
        <v>76</v>
      </c>
      <c r="D17" s="50" t="s">
        <v>59</v>
      </c>
      <c r="E17" s="50"/>
      <c r="F17" s="52" t="s">
        <v>37</v>
      </c>
      <c r="G17" s="51"/>
      <c r="H17" s="44" t="s">
        <v>66</v>
      </c>
    </row>
    <row r="18" ht="15.75" customHeight="1">
      <c r="A18" s="50" t="s">
        <v>8</v>
      </c>
      <c r="B18" s="50" t="s">
        <v>78</v>
      </c>
      <c r="C18" s="51" t="s">
        <v>79</v>
      </c>
      <c r="D18" s="50" t="s">
        <v>59</v>
      </c>
      <c r="E18" s="50"/>
      <c r="F18" s="52" t="s">
        <v>63</v>
      </c>
      <c r="G18" s="57" t="s">
        <v>164</v>
      </c>
      <c r="H18" s="44" t="s">
        <v>66</v>
      </c>
    </row>
    <row r="19" ht="15.75" customHeight="1">
      <c r="A19" s="50" t="s">
        <v>8</v>
      </c>
      <c r="B19" s="50" t="s">
        <v>85</v>
      </c>
      <c r="C19" s="51" t="s">
        <v>86</v>
      </c>
      <c r="D19" s="50" t="s">
        <v>54</v>
      </c>
      <c r="E19" s="50"/>
      <c r="F19" s="52" t="s">
        <v>63</v>
      </c>
      <c r="G19" s="57" t="s">
        <v>88</v>
      </c>
      <c r="H19" s="44" t="s">
        <v>66</v>
      </c>
    </row>
    <row r="20" ht="15.75" customHeight="1">
      <c r="A20" s="50" t="s">
        <v>8</v>
      </c>
      <c r="B20" s="50" t="s">
        <v>89</v>
      </c>
      <c r="C20" s="51" t="s">
        <v>90</v>
      </c>
      <c r="D20" s="50" t="s">
        <v>54</v>
      </c>
      <c r="E20" s="50" t="s">
        <v>167</v>
      </c>
      <c r="F20" s="52" t="s">
        <v>37</v>
      </c>
      <c r="G20" s="51"/>
      <c r="H20" s="44" t="s">
        <v>66</v>
      </c>
    </row>
    <row r="21" ht="15.75" customHeight="1">
      <c r="A21" s="50" t="s">
        <v>8</v>
      </c>
      <c r="B21" s="50" t="s">
        <v>92</v>
      </c>
      <c r="C21" s="51" t="s">
        <v>93</v>
      </c>
      <c r="D21" s="50" t="s">
        <v>54</v>
      </c>
      <c r="E21" s="50"/>
      <c r="F21" s="52" t="s">
        <v>37</v>
      </c>
      <c r="G21" s="51"/>
      <c r="H21" s="44" t="s">
        <v>66</v>
      </c>
    </row>
    <row r="22" ht="15.75" customHeight="1">
      <c r="A22" s="50" t="s">
        <v>8</v>
      </c>
      <c r="B22" s="50" t="s">
        <v>92</v>
      </c>
      <c r="C22" s="51" t="s">
        <v>94</v>
      </c>
      <c r="D22" s="50" t="s">
        <v>54</v>
      </c>
      <c r="E22" s="50"/>
      <c r="F22" s="52" t="s">
        <v>37</v>
      </c>
      <c r="G22" s="51"/>
      <c r="H22" s="44" t="s">
        <v>66</v>
      </c>
    </row>
    <row r="23" ht="15.75" customHeight="1">
      <c r="A23" s="50" t="s">
        <v>8</v>
      </c>
      <c r="B23" s="50" t="s">
        <v>92</v>
      </c>
      <c r="C23" s="51" t="s">
        <v>96</v>
      </c>
      <c r="D23" s="50" t="s">
        <v>54</v>
      </c>
      <c r="E23" s="50"/>
      <c r="F23" s="52" t="s">
        <v>37</v>
      </c>
      <c r="G23" s="51"/>
      <c r="H23" s="44" t="s">
        <v>66</v>
      </c>
    </row>
    <row r="24" ht="15.75" customHeight="1">
      <c r="A24" s="50" t="s">
        <v>8</v>
      </c>
      <c r="B24" s="50" t="s">
        <v>92</v>
      </c>
      <c r="C24" s="51" t="s">
        <v>97</v>
      </c>
      <c r="D24" s="50" t="s">
        <v>54</v>
      </c>
      <c r="E24" s="50"/>
      <c r="F24" s="52" t="s">
        <v>37</v>
      </c>
      <c r="G24" s="51"/>
      <c r="H24" s="44" t="s">
        <v>66</v>
      </c>
    </row>
    <row r="25" ht="15.75" customHeight="1">
      <c r="A25" s="50" t="s">
        <v>8</v>
      </c>
      <c r="B25" s="50" t="s">
        <v>98</v>
      </c>
      <c r="C25" s="51" t="s">
        <v>99</v>
      </c>
      <c r="D25" s="50" t="s">
        <v>54</v>
      </c>
      <c r="E25" s="50"/>
      <c r="F25" s="52" t="s">
        <v>37</v>
      </c>
      <c r="G25" s="51"/>
      <c r="H25" s="44" t="s">
        <v>66</v>
      </c>
    </row>
    <row r="26" ht="15.75" customHeight="1">
      <c r="A26" s="50" t="s">
        <v>8</v>
      </c>
      <c r="B26" s="50" t="s">
        <v>98</v>
      </c>
      <c r="C26" s="51" t="s">
        <v>100</v>
      </c>
      <c r="D26" s="50" t="s">
        <v>54</v>
      </c>
      <c r="E26" s="52" t="s">
        <v>167</v>
      </c>
      <c r="F26" s="52" t="s">
        <v>37</v>
      </c>
      <c r="G26" s="51"/>
      <c r="H26" s="44" t="s">
        <v>66</v>
      </c>
    </row>
    <row r="27" ht="15.75" customHeight="1">
      <c r="A27" s="50" t="s">
        <v>8</v>
      </c>
      <c r="B27" s="50" t="s">
        <v>98</v>
      </c>
      <c r="C27" s="51" t="s">
        <v>101</v>
      </c>
      <c r="D27" s="50" t="s">
        <v>54</v>
      </c>
      <c r="E27" s="50" t="s">
        <v>167</v>
      </c>
      <c r="F27" s="52" t="s">
        <v>37</v>
      </c>
      <c r="G27" s="51"/>
      <c r="H27" s="44" t="s">
        <v>66</v>
      </c>
    </row>
    <row r="28" ht="15.75" customHeight="1">
      <c r="A28" s="52" t="s">
        <v>8</v>
      </c>
      <c r="B28" s="52" t="s">
        <v>102</v>
      </c>
      <c r="C28" s="57" t="s">
        <v>103</v>
      </c>
      <c r="D28" s="52" t="s">
        <v>54</v>
      </c>
      <c r="E28" s="50"/>
      <c r="F28" s="52" t="s">
        <v>37</v>
      </c>
      <c r="G28" s="51"/>
      <c r="H28" s="44" t="s">
        <v>66</v>
      </c>
    </row>
    <row r="29" ht="15.75" customHeight="1">
      <c r="A29" s="52" t="s">
        <v>8</v>
      </c>
      <c r="B29" s="52" t="s">
        <v>190</v>
      </c>
      <c r="C29" s="57" t="s">
        <v>191</v>
      </c>
      <c r="D29" s="52" t="s">
        <v>54</v>
      </c>
      <c r="E29" s="50"/>
      <c r="F29" s="52" t="s">
        <v>37</v>
      </c>
      <c r="G29" s="51"/>
      <c r="H29" s="44" t="s">
        <v>66</v>
      </c>
    </row>
    <row r="30" ht="15.75" customHeight="1">
      <c r="A30" s="60" t="s">
        <v>16</v>
      </c>
      <c r="B30" s="60" t="s">
        <v>102</v>
      </c>
      <c r="C30" s="62" t="s">
        <v>108</v>
      </c>
      <c r="D30" s="60" t="s">
        <v>54</v>
      </c>
      <c r="E30" s="60"/>
      <c r="F30" s="63" t="s">
        <v>37</v>
      </c>
      <c r="G30" s="62"/>
      <c r="H30" s="44" t="s">
        <v>66</v>
      </c>
    </row>
    <row r="31" ht="15.75" customHeight="1">
      <c r="A31" s="60" t="s">
        <v>16</v>
      </c>
      <c r="B31" s="60" t="s">
        <v>102</v>
      </c>
      <c r="C31" s="62" t="s">
        <v>109</v>
      </c>
      <c r="D31" s="60" t="s">
        <v>54</v>
      </c>
      <c r="E31" s="60"/>
      <c r="F31" s="63" t="s">
        <v>37</v>
      </c>
      <c r="G31" s="62"/>
      <c r="H31" s="44" t="s">
        <v>66</v>
      </c>
    </row>
    <row r="32" ht="15.75" customHeight="1">
      <c r="A32" s="60" t="s">
        <v>16</v>
      </c>
      <c r="B32" s="60" t="s">
        <v>102</v>
      </c>
      <c r="C32" s="62" t="s">
        <v>111</v>
      </c>
      <c r="D32" s="60" t="s">
        <v>54</v>
      </c>
      <c r="E32" s="60"/>
      <c r="F32" s="63" t="s">
        <v>37</v>
      </c>
      <c r="G32" s="62"/>
      <c r="H32" s="44" t="s">
        <v>66</v>
      </c>
    </row>
    <row r="33" ht="15.75" customHeight="1">
      <c r="A33" s="60" t="s">
        <v>16</v>
      </c>
      <c r="B33" s="60" t="s">
        <v>89</v>
      </c>
      <c r="C33" s="62" t="s">
        <v>112</v>
      </c>
      <c r="D33" s="60" t="s">
        <v>54</v>
      </c>
      <c r="E33" s="60" t="s">
        <v>167</v>
      </c>
      <c r="F33" s="63" t="s">
        <v>37</v>
      </c>
      <c r="G33" s="62"/>
      <c r="H33" s="44" t="s">
        <v>66</v>
      </c>
    </row>
    <row r="34" ht="15.75" customHeight="1">
      <c r="A34" s="60" t="s">
        <v>16</v>
      </c>
      <c r="B34" s="60" t="s">
        <v>114</v>
      </c>
      <c r="C34" s="62" t="s">
        <v>115</v>
      </c>
      <c r="D34" s="60" t="s">
        <v>54</v>
      </c>
      <c r="E34" s="60"/>
      <c r="F34" s="63" t="s">
        <v>37</v>
      </c>
      <c r="G34" s="62"/>
      <c r="H34" s="44" t="s">
        <v>66</v>
      </c>
    </row>
    <row r="35" ht="15.75" customHeight="1">
      <c r="A35" s="60" t="s">
        <v>16</v>
      </c>
      <c r="B35" s="60" t="s">
        <v>114</v>
      </c>
      <c r="C35" s="62" t="s">
        <v>116</v>
      </c>
      <c r="D35" s="60" t="s">
        <v>54</v>
      </c>
      <c r="E35" s="60"/>
      <c r="F35" s="63" t="s">
        <v>41</v>
      </c>
      <c r="G35" s="65"/>
      <c r="H35" s="44" t="s">
        <v>206</v>
      </c>
    </row>
    <row r="36" ht="15.75" customHeight="1">
      <c r="A36" s="60" t="s">
        <v>16</v>
      </c>
      <c r="B36" s="60" t="s">
        <v>114</v>
      </c>
      <c r="C36" s="62" t="s">
        <v>119</v>
      </c>
      <c r="D36" s="60" t="s">
        <v>54</v>
      </c>
      <c r="E36" s="60"/>
      <c r="F36" s="63" t="s">
        <v>37</v>
      </c>
      <c r="G36" s="65"/>
      <c r="H36" s="44" t="s">
        <v>66</v>
      </c>
    </row>
    <row r="37" ht="15.75" customHeight="1">
      <c r="A37" s="60" t="s">
        <v>16</v>
      </c>
      <c r="B37" s="60" t="s">
        <v>114</v>
      </c>
      <c r="C37" s="62" t="s">
        <v>120</v>
      </c>
      <c r="D37" s="60" t="s">
        <v>54</v>
      </c>
      <c r="E37" s="60"/>
      <c r="F37" s="63" t="s">
        <v>37</v>
      </c>
      <c r="G37" s="62"/>
      <c r="H37" s="44" t="s">
        <v>66</v>
      </c>
    </row>
    <row r="38" ht="15.75" customHeight="1">
      <c r="A38" s="60" t="s">
        <v>16</v>
      </c>
      <c r="B38" s="60" t="s">
        <v>92</v>
      </c>
      <c r="C38" s="62" t="s">
        <v>121</v>
      </c>
      <c r="D38" s="60" t="s">
        <v>54</v>
      </c>
      <c r="E38" s="60"/>
      <c r="F38" s="63" t="s">
        <v>37</v>
      </c>
      <c r="G38" s="65"/>
      <c r="H38" s="44" t="s">
        <v>66</v>
      </c>
    </row>
    <row r="39" ht="15.75" customHeight="1">
      <c r="A39" s="60" t="s">
        <v>16</v>
      </c>
      <c r="B39" s="60" t="s">
        <v>98</v>
      </c>
      <c r="C39" s="62" t="s">
        <v>124</v>
      </c>
      <c r="D39" s="60" t="s">
        <v>54</v>
      </c>
      <c r="E39" s="60" t="s">
        <v>167</v>
      </c>
      <c r="F39" s="63" t="s">
        <v>37</v>
      </c>
      <c r="G39" s="62"/>
      <c r="H39" s="44" t="s">
        <v>66</v>
      </c>
    </row>
    <row r="40" ht="15.75" customHeight="1">
      <c r="A40" s="63" t="s">
        <v>16</v>
      </c>
      <c r="B40" s="63" t="s">
        <v>73</v>
      </c>
      <c r="C40" s="65" t="s">
        <v>126</v>
      </c>
      <c r="D40" s="63" t="s">
        <v>59</v>
      </c>
      <c r="E40" s="60"/>
      <c r="F40" s="63" t="s">
        <v>37</v>
      </c>
      <c r="G40" s="62"/>
      <c r="H40" s="44" t="s">
        <v>66</v>
      </c>
    </row>
    <row r="41" ht="15.75" customHeight="1">
      <c r="A41" s="63" t="s">
        <v>16</v>
      </c>
      <c r="B41" s="63" t="s">
        <v>98</v>
      </c>
      <c r="C41" s="65" t="s">
        <v>214</v>
      </c>
      <c r="D41" s="63" t="s">
        <v>54</v>
      </c>
      <c r="E41" s="60"/>
      <c r="F41" s="63" t="s">
        <v>41</v>
      </c>
      <c r="G41" s="62"/>
      <c r="H41" s="44" t="s">
        <v>66</v>
      </c>
    </row>
    <row r="42" ht="15.75" customHeight="1">
      <c r="A42" s="69" t="s">
        <v>18</v>
      </c>
      <c r="B42" s="69" t="s">
        <v>73</v>
      </c>
      <c r="C42" s="70" t="s">
        <v>127</v>
      </c>
      <c r="D42" s="69" t="s">
        <v>59</v>
      </c>
      <c r="E42" s="69"/>
      <c r="F42" s="71" t="s">
        <v>41</v>
      </c>
      <c r="G42" s="72"/>
      <c r="H42" s="44" t="s">
        <v>66</v>
      </c>
    </row>
    <row r="43" ht="15.75" customHeight="1">
      <c r="A43" s="69" t="s">
        <v>18</v>
      </c>
      <c r="B43" s="69" t="s">
        <v>73</v>
      </c>
      <c r="C43" s="70" t="s">
        <v>129</v>
      </c>
      <c r="D43" s="69" t="s">
        <v>59</v>
      </c>
      <c r="E43" s="69"/>
      <c r="F43" s="71" t="s">
        <v>37</v>
      </c>
      <c r="G43" s="70"/>
      <c r="H43" s="44" t="s">
        <v>66</v>
      </c>
    </row>
    <row r="44" ht="15.75" customHeight="1">
      <c r="A44" s="69" t="s">
        <v>18</v>
      </c>
      <c r="B44" s="69" t="s">
        <v>82</v>
      </c>
      <c r="C44" s="70" t="s">
        <v>131</v>
      </c>
      <c r="D44" s="69" t="s">
        <v>59</v>
      </c>
      <c r="E44" s="69"/>
      <c r="F44" s="71" t="s">
        <v>37</v>
      </c>
      <c r="G44" s="70"/>
      <c r="H44" s="44" t="s">
        <v>66</v>
      </c>
    </row>
    <row r="45" ht="15.75" customHeight="1">
      <c r="A45" s="69" t="s">
        <v>18</v>
      </c>
      <c r="B45" s="69" t="s">
        <v>114</v>
      </c>
      <c r="C45" s="70" t="s">
        <v>136</v>
      </c>
      <c r="D45" s="69" t="s">
        <v>54</v>
      </c>
      <c r="E45" s="69"/>
      <c r="F45" s="71" t="s">
        <v>37</v>
      </c>
      <c r="G45" s="70"/>
      <c r="H45" s="44" t="s">
        <v>66</v>
      </c>
    </row>
    <row r="46" ht="15.75" customHeight="1">
      <c r="A46" s="69" t="s">
        <v>18</v>
      </c>
      <c r="B46" s="69" t="s">
        <v>114</v>
      </c>
      <c r="C46" s="70" t="s">
        <v>137</v>
      </c>
      <c r="D46" s="69" t="s">
        <v>54</v>
      </c>
      <c r="E46" s="69"/>
      <c r="F46" s="71" t="s">
        <v>37</v>
      </c>
      <c r="G46" s="70"/>
      <c r="H46" s="44" t="s">
        <v>66</v>
      </c>
    </row>
    <row r="47" ht="15.75" customHeight="1">
      <c r="A47" s="69" t="s">
        <v>18</v>
      </c>
      <c r="B47" s="69" t="s">
        <v>92</v>
      </c>
      <c r="C47" s="70" t="s">
        <v>139</v>
      </c>
      <c r="D47" s="69" t="s">
        <v>54</v>
      </c>
      <c r="E47" s="69"/>
      <c r="F47" s="71" t="s">
        <v>37</v>
      </c>
      <c r="G47" s="70"/>
      <c r="H47" s="44" t="s">
        <v>66</v>
      </c>
    </row>
    <row r="48" ht="15.75" customHeight="1">
      <c r="A48" s="79" t="s">
        <v>22</v>
      </c>
      <c r="B48" s="79" t="s">
        <v>73</v>
      </c>
      <c r="C48" s="81" t="s">
        <v>141</v>
      </c>
      <c r="D48" s="79" t="s">
        <v>59</v>
      </c>
      <c r="E48" s="79"/>
      <c r="F48" s="82" t="s">
        <v>117</v>
      </c>
      <c r="G48" s="84" t="s">
        <v>142</v>
      </c>
      <c r="H48" s="44" t="s">
        <v>66</v>
      </c>
    </row>
    <row r="49" ht="15.75" customHeight="1">
      <c r="A49" s="79" t="s">
        <v>22</v>
      </c>
      <c r="B49" s="79" t="s">
        <v>73</v>
      </c>
      <c r="C49" s="81" t="s">
        <v>143</v>
      </c>
      <c r="D49" s="79" t="s">
        <v>59</v>
      </c>
      <c r="E49" s="79"/>
      <c r="F49" s="82" t="s">
        <v>41</v>
      </c>
      <c r="G49" s="84"/>
      <c r="H49" s="44" t="s">
        <v>66</v>
      </c>
    </row>
    <row r="50" ht="15.75" customHeight="1">
      <c r="A50" s="79" t="s">
        <v>22</v>
      </c>
      <c r="B50" s="79" t="s">
        <v>73</v>
      </c>
      <c r="C50" s="81" t="s">
        <v>144</v>
      </c>
      <c r="D50" s="79" t="s">
        <v>59</v>
      </c>
      <c r="E50" s="79"/>
      <c r="F50" s="82" t="s">
        <v>41</v>
      </c>
      <c r="G50" s="84"/>
      <c r="H50" s="44" t="s">
        <v>66</v>
      </c>
    </row>
    <row r="51" ht="15.75" customHeight="1">
      <c r="A51" s="79" t="s">
        <v>22</v>
      </c>
      <c r="B51" s="79" t="s">
        <v>78</v>
      </c>
      <c r="C51" s="81" t="s">
        <v>145</v>
      </c>
      <c r="D51" s="79" t="s">
        <v>59</v>
      </c>
      <c r="E51" s="79"/>
      <c r="F51" s="82" t="s">
        <v>37</v>
      </c>
      <c r="G51" s="84"/>
      <c r="H51" s="44" t="s">
        <v>66</v>
      </c>
    </row>
    <row r="52" ht="15.75" customHeight="1">
      <c r="A52" s="79" t="s">
        <v>22</v>
      </c>
      <c r="B52" s="79" t="s">
        <v>78</v>
      </c>
      <c r="C52" s="81" t="s">
        <v>148</v>
      </c>
      <c r="D52" s="82" t="s">
        <v>149</v>
      </c>
      <c r="E52" s="79"/>
      <c r="F52" s="82" t="s">
        <v>37</v>
      </c>
      <c r="G52" s="84"/>
      <c r="H52" s="44" t="s">
        <v>66</v>
      </c>
    </row>
    <row r="53" ht="15.75" customHeight="1">
      <c r="A53" s="79" t="s">
        <v>22</v>
      </c>
      <c r="B53" s="79" t="s">
        <v>82</v>
      </c>
      <c r="C53" s="81" t="s">
        <v>154</v>
      </c>
      <c r="D53" s="79" t="s">
        <v>59</v>
      </c>
      <c r="E53" s="79"/>
      <c r="F53" s="82" t="s">
        <v>37</v>
      </c>
      <c r="G53" s="81"/>
      <c r="H53" s="44" t="s">
        <v>66</v>
      </c>
    </row>
    <row r="54" ht="15.75" customHeight="1">
      <c r="A54" s="82" t="s">
        <v>8</v>
      </c>
      <c r="B54" s="79" t="s">
        <v>82</v>
      </c>
      <c r="C54" s="81" t="s">
        <v>155</v>
      </c>
      <c r="D54" s="79" t="s">
        <v>59</v>
      </c>
      <c r="E54" s="79"/>
      <c r="F54" s="82" t="s">
        <v>37</v>
      </c>
      <c r="G54" s="81"/>
      <c r="H54" s="44" t="s">
        <v>66</v>
      </c>
    </row>
    <row r="55" ht="15.75" customHeight="1">
      <c r="A55" s="79" t="s">
        <v>22</v>
      </c>
      <c r="B55" s="79" t="s">
        <v>82</v>
      </c>
      <c r="C55" s="81" t="s">
        <v>158</v>
      </c>
      <c r="D55" s="79" t="s">
        <v>59</v>
      </c>
      <c r="E55" s="79"/>
      <c r="F55" s="82" t="s">
        <v>37</v>
      </c>
      <c r="G55" s="81"/>
      <c r="H55" s="44" t="s">
        <v>66</v>
      </c>
    </row>
    <row r="56" ht="15.75" customHeight="1">
      <c r="A56" s="79" t="s">
        <v>22</v>
      </c>
      <c r="B56" s="79" t="s">
        <v>132</v>
      </c>
      <c r="C56" s="81" t="s">
        <v>159</v>
      </c>
      <c r="D56" s="79" t="s">
        <v>54</v>
      </c>
      <c r="E56" s="79" t="s">
        <v>167</v>
      </c>
      <c r="F56" s="82" t="s">
        <v>37</v>
      </c>
      <c r="G56" s="81"/>
      <c r="H56" s="44" t="s">
        <v>66</v>
      </c>
    </row>
    <row r="57" ht="15.75" customHeight="1">
      <c r="A57" s="79" t="s">
        <v>22</v>
      </c>
      <c r="B57" s="79" t="s">
        <v>132</v>
      </c>
      <c r="C57" s="81" t="s">
        <v>160</v>
      </c>
      <c r="D57" s="79" t="s">
        <v>54</v>
      </c>
      <c r="E57" s="79"/>
      <c r="F57" s="82" t="s">
        <v>37</v>
      </c>
      <c r="G57" s="81"/>
      <c r="H57" s="44" t="s">
        <v>66</v>
      </c>
    </row>
    <row r="58" ht="15.75" customHeight="1">
      <c r="A58" s="79" t="s">
        <v>22</v>
      </c>
      <c r="B58" s="79" t="s">
        <v>89</v>
      </c>
      <c r="C58" s="81" t="s">
        <v>162</v>
      </c>
      <c r="D58" s="79" t="s">
        <v>54</v>
      </c>
      <c r="E58" s="79" t="s">
        <v>167</v>
      </c>
      <c r="F58" s="82" t="s">
        <v>37</v>
      </c>
      <c r="G58" s="84"/>
      <c r="H58" s="44" t="s">
        <v>66</v>
      </c>
    </row>
    <row r="59" ht="15.75" customHeight="1">
      <c r="A59" s="79" t="s">
        <v>22</v>
      </c>
      <c r="B59" s="79" t="s">
        <v>114</v>
      </c>
      <c r="C59" s="81" t="s">
        <v>163</v>
      </c>
      <c r="D59" s="79" t="s">
        <v>54</v>
      </c>
      <c r="E59" s="79"/>
      <c r="F59" s="82" t="s">
        <v>63</v>
      </c>
      <c r="G59" s="84" t="s">
        <v>226</v>
      </c>
      <c r="H59" s="44" t="s">
        <v>66</v>
      </c>
    </row>
    <row r="60" ht="15.75" customHeight="1">
      <c r="A60" s="79" t="s">
        <v>22</v>
      </c>
      <c r="B60" s="79" t="s">
        <v>92</v>
      </c>
      <c r="C60" s="81" t="s">
        <v>165</v>
      </c>
      <c r="D60" s="79" t="s">
        <v>54</v>
      </c>
      <c r="E60" s="79"/>
      <c r="F60" s="82" t="s">
        <v>37</v>
      </c>
      <c r="G60" s="81"/>
      <c r="H60" s="44" t="s">
        <v>66</v>
      </c>
    </row>
    <row r="61" ht="15.75" customHeight="1">
      <c r="A61" s="82" t="s">
        <v>22</v>
      </c>
      <c r="B61" s="82" t="s">
        <v>82</v>
      </c>
      <c r="C61" s="84" t="s">
        <v>166</v>
      </c>
      <c r="D61" s="82" t="s">
        <v>59</v>
      </c>
      <c r="E61" s="79"/>
      <c r="F61" s="82" t="s">
        <v>37</v>
      </c>
      <c r="G61" s="81"/>
      <c r="H61" s="44" t="s">
        <v>66</v>
      </c>
    </row>
    <row r="62" ht="15.75" customHeight="1">
      <c r="A62" s="82" t="s">
        <v>22</v>
      </c>
      <c r="B62" s="82" t="s">
        <v>68</v>
      </c>
      <c r="C62" s="84" t="s">
        <v>168</v>
      </c>
      <c r="D62" s="82" t="s">
        <v>169</v>
      </c>
      <c r="E62" s="79"/>
      <c r="F62" s="82" t="s">
        <v>37</v>
      </c>
      <c r="G62" s="84"/>
      <c r="H62" s="44" t="s">
        <v>66</v>
      </c>
    </row>
    <row r="63" ht="15.75" customHeight="1">
      <c r="A63" s="82" t="s">
        <v>22</v>
      </c>
      <c r="B63" s="82" t="s">
        <v>68</v>
      </c>
      <c r="C63" s="84" t="s">
        <v>170</v>
      </c>
      <c r="D63" s="82" t="s">
        <v>59</v>
      </c>
      <c r="E63" s="79"/>
      <c r="F63" s="82" t="s">
        <v>37</v>
      </c>
      <c r="G63" s="81"/>
      <c r="H63" s="44" t="s">
        <v>66</v>
      </c>
    </row>
    <row r="64" ht="15.75" customHeight="1">
      <c r="A64" s="82" t="s">
        <v>22</v>
      </c>
      <c r="B64" s="82" t="s">
        <v>190</v>
      </c>
      <c r="C64" s="84" t="s">
        <v>227</v>
      </c>
      <c r="D64" s="82" t="s">
        <v>54</v>
      </c>
      <c r="E64" s="79"/>
      <c r="F64" s="82" t="s">
        <v>37</v>
      </c>
      <c r="G64" s="81"/>
      <c r="H64" s="44" t="s">
        <v>66</v>
      </c>
    </row>
    <row r="65" ht="15.75" customHeight="1">
      <c r="A65" s="90" t="s">
        <v>25</v>
      </c>
      <c r="B65" s="90" t="s">
        <v>82</v>
      </c>
      <c r="C65" s="91" t="s">
        <v>174</v>
      </c>
      <c r="D65" s="90" t="s">
        <v>59</v>
      </c>
      <c r="E65" s="90"/>
      <c r="F65" s="92" t="s">
        <v>63</v>
      </c>
      <c r="G65" s="91"/>
      <c r="H65" s="44" t="s">
        <v>66</v>
      </c>
    </row>
    <row r="66" ht="15.75" customHeight="1">
      <c r="A66" s="90" t="s">
        <v>25</v>
      </c>
      <c r="B66" s="90" t="s">
        <v>176</v>
      </c>
      <c r="C66" s="91" t="s">
        <v>177</v>
      </c>
      <c r="D66" s="90" t="s">
        <v>178</v>
      </c>
      <c r="E66" s="90"/>
      <c r="F66" s="92" t="s">
        <v>37</v>
      </c>
      <c r="G66" s="91"/>
      <c r="H66" s="44" t="s">
        <v>66</v>
      </c>
      <c r="K66" s="4" t="s">
        <v>228</v>
      </c>
    </row>
    <row r="67" ht="15.75" customHeight="1">
      <c r="A67" s="90" t="s">
        <v>25</v>
      </c>
      <c r="B67" s="90" t="s">
        <v>89</v>
      </c>
      <c r="C67" s="91" t="s">
        <v>179</v>
      </c>
      <c r="D67" s="90" t="s">
        <v>54</v>
      </c>
      <c r="E67" s="90"/>
      <c r="F67" s="92" t="s">
        <v>37</v>
      </c>
      <c r="G67" s="91"/>
      <c r="H67" s="44" t="s">
        <v>66</v>
      </c>
    </row>
    <row r="68" ht="15.75" customHeight="1">
      <c r="A68" s="90" t="s">
        <v>25</v>
      </c>
      <c r="B68" s="92" t="s">
        <v>114</v>
      </c>
      <c r="C68" s="94" t="s">
        <v>229</v>
      </c>
      <c r="D68" s="90" t="s">
        <v>54</v>
      </c>
      <c r="E68" s="90"/>
      <c r="F68" s="92" t="s">
        <v>63</v>
      </c>
      <c r="G68" s="91"/>
      <c r="H68" s="44" t="s">
        <v>66</v>
      </c>
    </row>
    <row r="69" ht="15.75" customHeight="1">
      <c r="A69" s="90" t="s">
        <v>25</v>
      </c>
      <c r="B69" s="90" t="s">
        <v>114</v>
      </c>
      <c r="C69" s="91" t="s">
        <v>181</v>
      </c>
      <c r="D69" s="90" t="s">
        <v>54</v>
      </c>
      <c r="E69" s="90"/>
      <c r="F69" s="92" t="s">
        <v>37</v>
      </c>
      <c r="G69" s="91"/>
      <c r="H69" s="44" t="s">
        <v>66</v>
      </c>
    </row>
    <row r="70" ht="15.75" customHeight="1">
      <c r="A70" s="90" t="s">
        <v>25</v>
      </c>
      <c r="B70" s="90" t="s">
        <v>92</v>
      </c>
      <c r="C70" s="91" t="s">
        <v>182</v>
      </c>
      <c r="D70" s="90" t="s">
        <v>54</v>
      </c>
      <c r="E70" s="90"/>
      <c r="F70" s="92" t="s">
        <v>37</v>
      </c>
      <c r="G70" s="94"/>
      <c r="H70" s="44" t="s">
        <v>66</v>
      </c>
    </row>
    <row r="71" ht="15.75" customHeight="1">
      <c r="A71" s="90" t="s">
        <v>25</v>
      </c>
      <c r="B71" s="90" t="s">
        <v>92</v>
      </c>
      <c r="C71" s="91" t="s">
        <v>185</v>
      </c>
      <c r="D71" s="90" t="s">
        <v>54</v>
      </c>
      <c r="E71" s="90"/>
      <c r="F71" s="92" t="s">
        <v>37</v>
      </c>
      <c r="G71" s="94"/>
      <c r="H71" s="44" t="s">
        <v>66</v>
      </c>
    </row>
    <row r="72" ht="15.75" customHeight="1">
      <c r="A72" s="90" t="s">
        <v>25</v>
      </c>
      <c r="B72" s="90" t="s">
        <v>92</v>
      </c>
      <c r="C72" s="91" t="s">
        <v>188</v>
      </c>
      <c r="D72" s="90" t="s">
        <v>54</v>
      </c>
      <c r="E72" s="90"/>
      <c r="F72" s="92" t="s">
        <v>37</v>
      </c>
      <c r="G72" s="91"/>
      <c r="H72" s="44" t="s">
        <v>66</v>
      </c>
    </row>
    <row r="73" ht="15.75" customHeight="1">
      <c r="A73" s="92" t="s">
        <v>25</v>
      </c>
      <c r="B73" s="92" t="s">
        <v>89</v>
      </c>
      <c r="C73" s="94" t="s">
        <v>230</v>
      </c>
      <c r="D73" s="92" t="s">
        <v>54</v>
      </c>
      <c r="E73" s="90"/>
      <c r="F73" s="92" t="s">
        <v>63</v>
      </c>
      <c r="G73" s="91"/>
      <c r="H73" s="44" t="s">
        <v>66</v>
      </c>
    </row>
    <row r="74" ht="15.75" customHeight="1">
      <c r="A74" s="97" t="s">
        <v>27</v>
      </c>
      <c r="B74" s="97" t="s">
        <v>68</v>
      </c>
      <c r="C74" s="99" t="s">
        <v>192</v>
      </c>
      <c r="D74" s="97" t="s">
        <v>59</v>
      </c>
      <c r="E74" s="97"/>
      <c r="F74" s="100" t="s">
        <v>37</v>
      </c>
      <c r="G74" s="99"/>
      <c r="H74" s="44" t="s">
        <v>66</v>
      </c>
    </row>
    <row r="75" ht="15.75" customHeight="1">
      <c r="A75" s="97" t="s">
        <v>27</v>
      </c>
      <c r="B75" s="97" t="s">
        <v>171</v>
      </c>
      <c r="C75" s="99" t="s">
        <v>196</v>
      </c>
      <c r="D75" s="97" t="s">
        <v>54</v>
      </c>
      <c r="E75" s="97"/>
      <c r="F75" s="100" t="s">
        <v>37</v>
      </c>
      <c r="G75" s="99"/>
      <c r="H75" s="44" t="s">
        <v>66</v>
      </c>
    </row>
    <row r="76" ht="15.75" customHeight="1">
      <c r="A76" s="97" t="s">
        <v>27</v>
      </c>
      <c r="B76" s="97" t="s">
        <v>102</v>
      </c>
      <c r="C76" s="99" t="s">
        <v>197</v>
      </c>
      <c r="D76" s="97" t="s">
        <v>54</v>
      </c>
      <c r="E76" s="97"/>
      <c r="F76" s="100" t="s">
        <v>63</v>
      </c>
      <c r="G76" s="101" t="s">
        <v>81</v>
      </c>
      <c r="H76" s="44" t="s">
        <v>66</v>
      </c>
    </row>
    <row r="77" ht="15.75" customHeight="1">
      <c r="A77" s="97" t="s">
        <v>27</v>
      </c>
      <c r="B77" s="97" t="s">
        <v>89</v>
      </c>
      <c r="C77" s="99" t="s">
        <v>198</v>
      </c>
      <c r="D77" s="97" t="s">
        <v>54</v>
      </c>
      <c r="E77" s="97"/>
      <c r="F77" s="100" t="s">
        <v>41</v>
      </c>
      <c r="G77" s="101" t="s">
        <v>231</v>
      </c>
      <c r="H77" s="44" t="s">
        <v>66</v>
      </c>
    </row>
    <row r="78" ht="15.75" customHeight="1">
      <c r="A78" s="97" t="s">
        <v>27</v>
      </c>
      <c r="B78" s="97" t="s">
        <v>92</v>
      </c>
      <c r="C78" s="99" t="s">
        <v>200</v>
      </c>
      <c r="D78" s="97" t="s">
        <v>54</v>
      </c>
      <c r="E78" s="97"/>
      <c r="F78" s="100" t="s">
        <v>37</v>
      </c>
      <c r="G78" s="99"/>
      <c r="H78" s="44" t="s">
        <v>66</v>
      </c>
    </row>
    <row r="79" ht="15.75" customHeight="1">
      <c r="A79" s="97" t="s">
        <v>27</v>
      </c>
      <c r="B79" s="97" t="s">
        <v>92</v>
      </c>
      <c r="C79" s="99" t="s">
        <v>201</v>
      </c>
      <c r="D79" s="97" t="s">
        <v>54</v>
      </c>
      <c r="E79" s="97"/>
      <c r="F79" s="100" t="s">
        <v>37</v>
      </c>
      <c r="G79" s="99"/>
      <c r="H79" s="44" t="s">
        <v>66</v>
      </c>
    </row>
    <row r="80" ht="15.75" customHeight="1">
      <c r="A80" s="97" t="s">
        <v>27</v>
      </c>
      <c r="B80" s="97" t="s">
        <v>92</v>
      </c>
      <c r="C80" s="99" t="s">
        <v>202</v>
      </c>
      <c r="D80" s="97" t="s">
        <v>54</v>
      </c>
      <c r="E80" s="97"/>
      <c r="F80" s="100" t="s">
        <v>63</v>
      </c>
      <c r="G80" s="101" t="s">
        <v>147</v>
      </c>
      <c r="H80" s="44" t="s">
        <v>66</v>
      </c>
    </row>
    <row r="81" ht="15.75" customHeight="1">
      <c r="A81" s="104" t="s">
        <v>10</v>
      </c>
      <c r="B81" s="104" t="s">
        <v>82</v>
      </c>
      <c r="C81" s="105" t="s">
        <v>203</v>
      </c>
      <c r="D81" s="104" t="s">
        <v>59</v>
      </c>
      <c r="E81" s="104"/>
      <c r="F81" s="106" t="s">
        <v>37</v>
      </c>
      <c r="G81" s="105"/>
      <c r="H81" s="44" t="s">
        <v>66</v>
      </c>
    </row>
    <row r="82" ht="15.75" customHeight="1">
      <c r="A82" s="104" t="s">
        <v>10</v>
      </c>
      <c r="B82" s="104" t="s">
        <v>190</v>
      </c>
      <c r="C82" s="105" t="s">
        <v>205</v>
      </c>
      <c r="D82" s="104" t="s">
        <v>54</v>
      </c>
      <c r="E82" s="104"/>
      <c r="F82" s="106" t="s">
        <v>37</v>
      </c>
      <c r="G82" s="105"/>
      <c r="H82" s="44" t="s">
        <v>66</v>
      </c>
    </row>
    <row r="83" ht="15.75" customHeight="1">
      <c r="A83" s="104" t="s">
        <v>10</v>
      </c>
      <c r="B83" s="104" t="s">
        <v>114</v>
      </c>
      <c r="C83" s="105" t="s">
        <v>207</v>
      </c>
      <c r="D83" s="104" t="s">
        <v>54</v>
      </c>
      <c r="E83" s="104"/>
      <c r="F83" s="106" t="s">
        <v>37</v>
      </c>
      <c r="G83" s="105"/>
      <c r="H83" s="44" t="s">
        <v>66</v>
      </c>
    </row>
    <row r="84" ht="15.75" customHeight="1">
      <c r="A84" s="104" t="s">
        <v>10</v>
      </c>
      <c r="B84" s="104" t="s">
        <v>92</v>
      </c>
      <c r="C84" s="105" t="s">
        <v>208</v>
      </c>
      <c r="D84" s="104" t="s">
        <v>54</v>
      </c>
      <c r="E84" s="104"/>
      <c r="F84" s="106" t="s">
        <v>37</v>
      </c>
      <c r="G84" s="118"/>
      <c r="H84" s="44" t="s">
        <v>66</v>
      </c>
    </row>
    <row r="85" ht="15.75" customHeight="1">
      <c r="A85" s="104" t="s">
        <v>10</v>
      </c>
      <c r="B85" s="104" t="s">
        <v>92</v>
      </c>
      <c r="C85" s="105" t="s">
        <v>209</v>
      </c>
      <c r="D85" s="104" t="s">
        <v>54</v>
      </c>
      <c r="E85" s="104"/>
      <c r="F85" s="106" t="s">
        <v>63</v>
      </c>
      <c r="G85" s="118" t="s">
        <v>232</v>
      </c>
      <c r="H85" s="44" t="s">
        <v>66</v>
      </c>
    </row>
    <row r="86" ht="15.75" customHeight="1">
      <c r="A86" s="104" t="s">
        <v>10</v>
      </c>
      <c r="B86" s="104" t="s">
        <v>98</v>
      </c>
      <c r="C86" s="105" t="s">
        <v>212</v>
      </c>
      <c r="D86" s="104" t="s">
        <v>54</v>
      </c>
      <c r="E86" s="104"/>
      <c r="F86" s="106" t="s">
        <v>37</v>
      </c>
      <c r="G86" s="105"/>
      <c r="H86" s="44" t="s">
        <v>66</v>
      </c>
    </row>
    <row r="87" ht="15.75" customHeight="1">
      <c r="A87" s="109" t="s">
        <v>14</v>
      </c>
      <c r="B87" s="109" t="s">
        <v>102</v>
      </c>
      <c r="C87" s="111" t="s">
        <v>213</v>
      </c>
      <c r="D87" s="109" t="s">
        <v>54</v>
      </c>
      <c r="E87" s="109"/>
      <c r="F87" s="112" t="s">
        <v>37</v>
      </c>
      <c r="G87" s="111"/>
      <c r="H87" s="44" t="s">
        <v>66</v>
      </c>
    </row>
    <row r="88" ht="15.75" customHeight="1">
      <c r="A88" s="109" t="s">
        <v>14</v>
      </c>
      <c r="B88" s="109" t="s">
        <v>190</v>
      </c>
      <c r="C88" s="111" t="s">
        <v>215</v>
      </c>
      <c r="D88" s="109" t="s">
        <v>54</v>
      </c>
      <c r="E88" s="109"/>
      <c r="F88" s="112" t="s">
        <v>37</v>
      </c>
      <c r="G88" s="111"/>
      <c r="H88" s="44" t="s">
        <v>66</v>
      </c>
    </row>
    <row r="89" ht="15.75" customHeight="1">
      <c r="A89" s="109" t="s">
        <v>14</v>
      </c>
      <c r="B89" s="109" t="s">
        <v>89</v>
      </c>
      <c r="C89" s="111" t="s">
        <v>216</v>
      </c>
      <c r="D89" s="109" t="s">
        <v>54</v>
      </c>
      <c r="E89" s="109"/>
      <c r="F89" s="112" t="s">
        <v>41</v>
      </c>
      <c r="G89" s="111"/>
      <c r="H89" s="44" t="s">
        <v>66</v>
      </c>
    </row>
    <row r="90" ht="15.75" customHeight="1">
      <c r="A90" s="109" t="s">
        <v>14</v>
      </c>
      <c r="B90" s="109" t="s">
        <v>114</v>
      </c>
      <c r="C90" s="111" t="s">
        <v>217</v>
      </c>
      <c r="D90" s="109" t="s">
        <v>54</v>
      </c>
      <c r="E90" s="109"/>
      <c r="F90" s="112" t="s">
        <v>37</v>
      </c>
      <c r="G90" s="111"/>
      <c r="H90" s="44" t="s">
        <v>66</v>
      </c>
    </row>
    <row r="91" ht="15.75" customHeight="1">
      <c r="A91" s="109" t="s">
        <v>14</v>
      </c>
      <c r="B91" s="109" t="s">
        <v>114</v>
      </c>
      <c r="C91" s="111" t="s">
        <v>218</v>
      </c>
      <c r="D91" s="109" t="s">
        <v>54</v>
      </c>
      <c r="E91" s="109"/>
      <c r="F91" s="112" t="s">
        <v>41</v>
      </c>
      <c r="G91" s="115"/>
      <c r="H91" s="44" t="s">
        <v>66</v>
      </c>
    </row>
    <row r="92" ht="15.75" customHeight="1">
      <c r="A92" s="109" t="s">
        <v>14</v>
      </c>
      <c r="B92" s="109" t="s">
        <v>114</v>
      </c>
      <c r="C92" s="111" t="s">
        <v>219</v>
      </c>
      <c r="D92" s="109" t="s">
        <v>54</v>
      </c>
      <c r="E92" s="109"/>
      <c r="F92" s="112" t="s">
        <v>37</v>
      </c>
      <c r="G92" s="111"/>
      <c r="H92" s="44" t="s">
        <v>66</v>
      </c>
    </row>
    <row r="93" ht="15.75" customHeight="1">
      <c r="A93" s="109" t="s">
        <v>14</v>
      </c>
      <c r="B93" s="109" t="s">
        <v>221</v>
      </c>
      <c r="C93" s="111" t="s">
        <v>222</v>
      </c>
      <c r="D93" s="109" t="s">
        <v>178</v>
      </c>
      <c r="E93" s="109"/>
      <c r="F93" s="112" t="s">
        <v>63</v>
      </c>
      <c r="G93" s="115"/>
      <c r="H93" s="44" t="s">
        <v>66</v>
      </c>
    </row>
    <row r="94" ht="15.75" customHeight="1">
      <c r="A94" s="109" t="s">
        <v>14</v>
      </c>
      <c r="B94" s="109" t="s">
        <v>98</v>
      </c>
      <c r="C94" s="111" t="s">
        <v>224</v>
      </c>
      <c r="D94" s="109" t="s">
        <v>54</v>
      </c>
      <c r="E94" s="109"/>
      <c r="F94" s="112" t="s">
        <v>37</v>
      </c>
      <c r="G94" s="111"/>
      <c r="H94" s="44" t="s">
        <v>66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autoFilter ref="$A$9:$G$94"/>
  <mergeCells count="5">
    <mergeCell ref="A1:G2"/>
    <mergeCell ref="I1:L1"/>
    <mergeCell ref="I2:L2"/>
    <mergeCell ref="A3:G3"/>
    <mergeCell ref="A5:B5"/>
  </mergeCells>
  <conditionalFormatting sqref="A10:G94">
    <cfRule type="expression" dxfId="1" priority="1">
      <formula>$F10="Present"</formula>
    </cfRule>
  </conditionalFormatting>
  <conditionalFormatting sqref="A10:G94">
    <cfRule type="expression" dxfId="2" priority="2">
      <formula>$F10="SUTA"</formula>
    </cfRule>
  </conditionalFormatting>
  <conditionalFormatting sqref="A10:G94">
    <cfRule type="expression" dxfId="0" priority="3">
      <formula>$F10="AWOL"</formula>
    </cfRule>
  </conditionalFormatting>
  <conditionalFormatting sqref="A10:G94">
    <cfRule type="expression" dxfId="3" priority="4">
      <formula>$F10="Off-Site Training"</formula>
    </cfRule>
  </conditionalFormatting>
  <dataValidations>
    <dataValidation type="list" allowBlank="1" sqref="F10:F94">
      <formula1>"Present,SUTA,Off-Site Training,AWOL,Profile,Appointment,Sick Call,Other"</formula1>
    </dataValidation>
    <dataValidation type="list" allowBlank="1" sqref="H10:H94">
      <formula1>"Stratford Armory,London Armory,Norwich Armory,Stone Ranch Military Reserve,Camp Nett,Crossroads,Alt AT"</formula1>
    </dataValidation>
    <dataValidation type="list" allowBlank="1" sqref="E10:E94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28.0"/>
    <col customWidth="1" min="4" max="4" width="14.0"/>
    <col customWidth="1" min="5" max="5" width="18.0"/>
    <col customWidth="1" min="6" max="6" width="22.0"/>
    <col customWidth="1" min="7" max="7" width="26.14"/>
    <col customWidth="1" min="8" max="8" width="20.0"/>
    <col customWidth="1" min="9" max="10" width="9.0"/>
    <col customWidth="1" min="11" max="11" width="11.0"/>
    <col customWidth="1" min="12" max="25" width="8.57"/>
  </cols>
  <sheetData>
    <row r="1" ht="27.75" customHeight="1">
      <c r="A1" s="2" t="s">
        <v>0</v>
      </c>
      <c r="B1" s="5"/>
      <c r="C1" s="5"/>
      <c r="D1" s="5"/>
      <c r="E1" s="5"/>
      <c r="F1" s="7"/>
    </row>
    <row r="2" ht="14.25" customHeight="1">
      <c r="A2" s="9"/>
      <c r="B2" s="10"/>
      <c r="C2" s="10"/>
      <c r="D2" s="10"/>
      <c r="E2" s="10"/>
      <c r="F2" s="13"/>
    </row>
    <row r="3" ht="18.0" customHeight="1">
      <c r="A3" s="16" t="s">
        <v>21</v>
      </c>
      <c r="B3" s="19"/>
      <c r="C3" s="19"/>
      <c r="D3" s="19"/>
      <c r="E3" s="19"/>
      <c r="F3" s="21"/>
    </row>
    <row r="4" ht="14.25" customHeight="1"/>
    <row r="5" ht="14.25" customHeight="1">
      <c r="A5" s="25" t="s">
        <v>35</v>
      </c>
      <c r="B5" s="21"/>
    </row>
    <row r="6" ht="15.75" customHeight="1">
      <c r="A6" s="26"/>
      <c r="B6" s="28" t="s">
        <v>37</v>
      </c>
    </row>
    <row r="7" ht="15.75" customHeight="1">
      <c r="A7" s="29"/>
      <c r="B7" s="28" t="s">
        <v>41</v>
      </c>
    </row>
    <row r="8" ht="15.75" customHeight="1">
      <c r="A8" s="31"/>
      <c r="B8" s="28" t="s">
        <v>42</v>
      </c>
    </row>
    <row r="9" ht="19.5" customHeight="1">
      <c r="A9" s="32" t="s">
        <v>2</v>
      </c>
      <c r="B9" s="32" t="s">
        <v>43</v>
      </c>
      <c r="C9" s="32" t="s">
        <v>44</v>
      </c>
      <c r="D9" s="32" t="s">
        <v>34</v>
      </c>
      <c r="E9" s="32" t="s">
        <v>45</v>
      </c>
      <c r="F9" s="32" t="s">
        <v>46</v>
      </c>
      <c r="G9" s="34" t="s">
        <v>47</v>
      </c>
    </row>
    <row r="10" ht="15.75" customHeight="1">
      <c r="A10" s="37" t="s">
        <v>49</v>
      </c>
      <c r="B10" s="37" t="s">
        <v>51</v>
      </c>
      <c r="C10" s="39" t="s">
        <v>52</v>
      </c>
      <c r="D10" s="37" t="s">
        <v>54</v>
      </c>
      <c r="E10" s="41" t="s">
        <v>37</v>
      </c>
      <c r="F10" s="39"/>
      <c r="G10" s="44"/>
    </row>
    <row r="11" ht="15.75" customHeight="1">
      <c r="A11" s="37" t="s">
        <v>49</v>
      </c>
      <c r="B11" s="37" t="s">
        <v>57</v>
      </c>
      <c r="C11" s="39" t="s">
        <v>58</v>
      </c>
      <c r="D11" s="37" t="s">
        <v>59</v>
      </c>
      <c r="E11" s="41" t="s">
        <v>37</v>
      </c>
      <c r="F11" s="39"/>
      <c r="G11" s="44" t="s">
        <v>60</v>
      </c>
    </row>
    <row r="12" ht="15.75" customHeight="1">
      <c r="A12" s="37" t="s">
        <v>49</v>
      </c>
      <c r="B12" s="37" t="s">
        <v>61</v>
      </c>
      <c r="C12" s="39" t="s">
        <v>62</v>
      </c>
      <c r="D12" s="37" t="s">
        <v>59</v>
      </c>
      <c r="E12" s="41" t="s">
        <v>63</v>
      </c>
      <c r="F12" s="47" t="s">
        <v>65</v>
      </c>
      <c r="G12" s="44"/>
    </row>
    <row r="13" ht="15.75" customHeight="1">
      <c r="A13" s="37" t="s">
        <v>49</v>
      </c>
      <c r="B13" s="37" t="s">
        <v>61</v>
      </c>
      <c r="C13" s="39" t="s">
        <v>67</v>
      </c>
      <c r="D13" s="37" t="s">
        <v>59</v>
      </c>
      <c r="E13" s="41" t="s">
        <v>37</v>
      </c>
      <c r="F13" s="39"/>
      <c r="G13" s="44"/>
    </row>
    <row r="14" ht="15.75" customHeight="1">
      <c r="A14" s="50" t="s">
        <v>8</v>
      </c>
      <c r="B14" s="50" t="s">
        <v>68</v>
      </c>
      <c r="C14" s="51" t="s">
        <v>69</v>
      </c>
      <c r="D14" s="50" t="s">
        <v>59</v>
      </c>
      <c r="E14" s="52" t="s">
        <v>37</v>
      </c>
      <c r="F14" s="51"/>
      <c r="G14" s="44" t="s">
        <v>70</v>
      </c>
    </row>
    <row r="15" ht="15.75" customHeight="1">
      <c r="A15" s="50" t="s">
        <v>8</v>
      </c>
      <c r="B15" s="50" t="s">
        <v>71</v>
      </c>
      <c r="C15" s="51" t="s">
        <v>72</v>
      </c>
      <c r="D15" s="50" t="s">
        <v>54</v>
      </c>
      <c r="E15" s="52" t="s">
        <v>37</v>
      </c>
      <c r="F15" s="51"/>
      <c r="G15" s="44" t="s">
        <v>70</v>
      </c>
    </row>
    <row r="16" ht="15.75" customHeight="1">
      <c r="A16" s="50" t="s">
        <v>8</v>
      </c>
      <c r="B16" s="50" t="s">
        <v>73</v>
      </c>
      <c r="C16" s="51" t="s">
        <v>74</v>
      </c>
      <c r="D16" s="50" t="s">
        <v>59</v>
      </c>
      <c r="E16" s="50"/>
      <c r="F16" s="51"/>
      <c r="G16" s="44"/>
    </row>
    <row r="17" ht="15.75" customHeight="1">
      <c r="A17" s="52" t="s">
        <v>18</v>
      </c>
      <c r="B17" s="50" t="s">
        <v>73</v>
      </c>
      <c r="C17" s="51" t="s">
        <v>76</v>
      </c>
      <c r="D17" s="50" t="s">
        <v>59</v>
      </c>
      <c r="E17" s="52" t="s">
        <v>37</v>
      </c>
      <c r="F17" s="51"/>
      <c r="G17" s="44" t="s">
        <v>70</v>
      </c>
    </row>
    <row r="18" ht="15.75" customHeight="1">
      <c r="A18" s="52" t="s">
        <v>22</v>
      </c>
      <c r="B18" s="50" t="s">
        <v>73</v>
      </c>
      <c r="C18" s="51" t="s">
        <v>77</v>
      </c>
      <c r="D18" s="50" t="s">
        <v>59</v>
      </c>
      <c r="E18" s="52" t="s">
        <v>37</v>
      </c>
      <c r="F18" s="51"/>
      <c r="G18" s="44" t="s">
        <v>70</v>
      </c>
    </row>
    <row r="19" ht="15.75" customHeight="1">
      <c r="A19" s="50" t="s">
        <v>8</v>
      </c>
      <c r="B19" s="50" t="s">
        <v>78</v>
      </c>
      <c r="C19" s="51" t="s">
        <v>79</v>
      </c>
      <c r="D19" s="50" t="s">
        <v>59</v>
      </c>
      <c r="E19" s="52" t="s">
        <v>63</v>
      </c>
      <c r="F19" s="57" t="s">
        <v>81</v>
      </c>
      <c r="G19" s="44"/>
    </row>
    <row r="20" ht="15.75" customHeight="1">
      <c r="A20" s="50" t="s">
        <v>8</v>
      </c>
      <c r="B20" s="50" t="s">
        <v>82</v>
      </c>
      <c r="C20" s="51" t="s">
        <v>83</v>
      </c>
      <c r="D20" s="50" t="s">
        <v>59</v>
      </c>
      <c r="E20" s="52" t="s">
        <v>37</v>
      </c>
      <c r="F20" s="51"/>
      <c r="G20" s="44" t="s">
        <v>70</v>
      </c>
    </row>
    <row r="21" ht="15.75" customHeight="1">
      <c r="A21" s="50" t="s">
        <v>8</v>
      </c>
      <c r="B21" s="50" t="s">
        <v>85</v>
      </c>
      <c r="C21" s="51" t="s">
        <v>86</v>
      </c>
      <c r="D21" s="50" t="s">
        <v>54</v>
      </c>
      <c r="E21" s="52" t="s">
        <v>63</v>
      </c>
      <c r="F21" s="57" t="s">
        <v>88</v>
      </c>
      <c r="G21" s="44"/>
    </row>
    <row r="22" ht="15.75" customHeight="1">
      <c r="A22" s="50" t="s">
        <v>8</v>
      </c>
      <c r="B22" s="50" t="s">
        <v>89</v>
      </c>
      <c r="C22" s="51" t="s">
        <v>90</v>
      </c>
      <c r="D22" s="50" t="s">
        <v>54</v>
      </c>
      <c r="E22" s="52" t="s">
        <v>37</v>
      </c>
      <c r="F22" s="51"/>
      <c r="G22" s="44"/>
    </row>
    <row r="23" ht="15.75" customHeight="1">
      <c r="A23" s="50" t="s">
        <v>8</v>
      </c>
      <c r="B23" s="50" t="s">
        <v>92</v>
      </c>
      <c r="C23" s="51" t="s">
        <v>93</v>
      </c>
      <c r="D23" s="50" t="s">
        <v>54</v>
      </c>
      <c r="E23" s="52" t="s">
        <v>37</v>
      </c>
      <c r="F23" s="51"/>
      <c r="G23" s="44" t="s">
        <v>70</v>
      </c>
    </row>
    <row r="24" ht="15.75" customHeight="1">
      <c r="A24" s="50" t="s">
        <v>8</v>
      </c>
      <c r="B24" s="50" t="s">
        <v>92</v>
      </c>
      <c r="C24" s="51" t="s">
        <v>94</v>
      </c>
      <c r="D24" s="50" t="s">
        <v>54</v>
      </c>
      <c r="E24" s="52" t="s">
        <v>37</v>
      </c>
      <c r="F24" s="51"/>
      <c r="G24" s="44" t="s">
        <v>70</v>
      </c>
    </row>
    <row r="25" ht="15.75" customHeight="1">
      <c r="A25" s="50" t="s">
        <v>8</v>
      </c>
      <c r="B25" s="50" t="s">
        <v>92</v>
      </c>
      <c r="C25" s="51" t="s">
        <v>96</v>
      </c>
      <c r="D25" s="50" t="s">
        <v>54</v>
      </c>
      <c r="E25" s="52" t="s">
        <v>37</v>
      </c>
      <c r="F25" s="51"/>
      <c r="G25" s="44" t="s">
        <v>70</v>
      </c>
    </row>
    <row r="26" ht="15.75" customHeight="1">
      <c r="A26" s="50" t="s">
        <v>8</v>
      </c>
      <c r="B26" s="50" t="s">
        <v>92</v>
      </c>
      <c r="C26" s="51" t="s">
        <v>97</v>
      </c>
      <c r="D26" s="50" t="s">
        <v>54</v>
      </c>
      <c r="E26" s="52" t="s">
        <v>37</v>
      </c>
      <c r="F26" s="51"/>
      <c r="G26" s="44" t="s">
        <v>70</v>
      </c>
    </row>
    <row r="27" ht="15.75" customHeight="1">
      <c r="A27" s="50" t="s">
        <v>8</v>
      </c>
      <c r="B27" s="50" t="s">
        <v>98</v>
      </c>
      <c r="C27" s="51" t="s">
        <v>99</v>
      </c>
      <c r="D27" s="50" t="s">
        <v>54</v>
      </c>
      <c r="E27" s="52" t="s">
        <v>37</v>
      </c>
      <c r="F27" s="51"/>
      <c r="G27" s="44" t="s">
        <v>70</v>
      </c>
    </row>
    <row r="28" ht="15.75" customHeight="1">
      <c r="A28" s="50" t="s">
        <v>8</v>
      </c>
      <c r="B28" s="50" t="s">
        <v>98</v>
      </c>
      <c r="C28" s="51" t="s">
        <v>100</v>
      </c>
      <c r="D28" s="50" t="s">
        <v>54</v>
      </c>
      <c r="E28" s="52" t="s">
        <v>37</v>
      </c>
      <c r="F28" s="51"/>
      <c r="G28" s="44"/>
    </row>
    <row r="29" ht="15.75" customHeight="1">
      <c r="A29" s="50" t="s">
        <v>8</v>
      </c>
      <c r="B29" s="50" t="s">
        <v>98</v>
      </c>
      <c r="C29" s="51" t="s">
        <v>101</v>
      </c>
      <c r="D29" s="50" t="s">
        <v>54</v>
      </c>
      <c r="E29" s="52" t="s">
        <v>37</v>
      </c>
      <c r="F29" s="51"/>
      <c r="G29" s="44"/>
    </row>
    <row r="30" ht="15.75" customHeight="1">
      <c r="A30" s="52" t="s">
        <v>8</v>
      </c>
      <c r="B30" s="52" t="s">
        <v>102</v>
      </c>
      <c r="C30" s="57" t="s">
        <v>103</v>
      </c>
      <c r="D30" s="52" t="s">
        <v>54</v>
      </c>
      <c r="E30" s="52" t="s">
        <v>37</v>
      </c>
      <c r="F30" s="51"/>
      <c r="G30" s="44" t="s">
        <v>70</v>
      </c>
    </row>
    <row r="31" ht="15.75" customHeight="1">
      <c r="A31" s="60" t="s">
        <v>16</v>
      </c>
      <c r="B31" s="60" t="s">
        <v>68</v>
      </c>
      <c r="C31" s="62" t="s">
        <v>104</v>
      </c>
      <c r="D31" s="60" t="s">
        <v>59</v>
      </c>
      <c r="E31" s="63" t="s">
        <v>63</v>
      </c>
      <c r="F31" s="65" t="s">
        <v>107</v>
      </c>
      <c r="G31" s="44"/>
    </row>
    <row r="32" ht="15.75" customHeight="1">
      <c r="A32" s="60" t="s">
        <v>16</v>
      </c>
      <c r="B32" s="60" t="s">
        <v>102</v>
      </c>
      <c r="C32" s="62" t="s">
        <v>108</v>
      </c>
      <c r="D32" s="60" t="s">
        <v>54</v>
      </c>
      <c r="E32" s="63" t="s">
        <v>37</v>
      </c>
      <c r="F32" s="62"/>
      <c r="G32" s="44" t="s">
        <v>70</v>
      </c>
    </row>
    <row r="33" ht="15.75" customHeight="1">
      <c r="A33" s="60" t="s">
        <v>16</v>
      </c>
      <c r="B33" s="60" t="s">
        <v>102</v>
      </c>
      <c r="C33" s="62" t="s">
        <v>109</v>
      </c>
      <c r="D33" s="60" t="s">
        <v>54</v>
      </c>
      <c r="E33" s="63" t="s">
        <v>41</v>
      </c>
      <c r="F33" s="62"/>
      <c r="G33" s="44"/>
    </row>
    <row r="34" ht="15.75" customHeight="1">
      <c r="A34" s="60" t="s">
        <v>16</v>
      </c>
      <c r="B34" s="60" t="s">
        <v>102</v>
      </c>
      <c r="C34" s="62" t="s">
        <v>111</v>
      </c>
      <c r="D34" s="60" t="s">
        <v>54</v>
      </c>
      <c r="E34" s="63" t="s">
        <v>41</v>
      </c>
      <c r="F34" s="62"/>
      <c r="G34" s="44"/>
    </row>
    <row r="35" ht="15.75" customHeight="1">
      <c r="A35" s="60" t="s">
        <v>16</v>
      </c>
      <c r="B35" s="60" t="s">
        <v>89</v>
      </c>
      <c r="C35" s="62" t="s">
        <v>112</v>
      </c>
      <c r="D35" s="60" t="s">
        <v>54</v>
      </c>
      <c r="E35" s="63" t="s">
        <v>37</v>
      </c>
      <c r="F35" s="62"/>
      <c r="G35" s="44" t="s">
        <v>70</v>
      </c>
    </row>
    <row r="36" ht="15.75" customHeight="1">
      <c r="A36" s="60" t="s">
        <v>16</v>
      </c>
      <c r="B36" s="60" t="s">
        <v>114</v>
      </c>
      <c r="C36" s="62" t="s">
        <v>115</v>
      </c>
      <c r="D36" s="60" t="s">
        <v>54</v>
      </c>
      <c r="E36" s="63" t="s">
        <v>37</v>
      </c>
      <c r="F36" s="62"/>
      <c r="G36" s="44" t="s">
        <v>70</v>
      </c>
    </row>
    <row r="37" ht="15.75" customHeight="1">
      <c r="A37" s="60" t="s">
        <v>16</v>
      </c>
      <c r="B37" s="60" t="s">
        <v>114</v>
      </c>
      <c r="C37" s="62" t="s">
        <v>116</v>
      </c>
      <c r="D37" s="60" t="s">
        <v>54</v>
      </c>
      <c r="E37" s="63" t="s">
        <v>117</v>
      </c>
      <c r="F37" s="65" t="s">
        <v>118</v>
      </c>
      <c r="G37" s="44"/>
    </row>
    <row r="38" ht="15.75" customHeight="1">
      <c r="A38" s="60" t="s">
        <v>16</v>
      </c>
      <c r="B38" s="60" t="s">
        <v>114</v>
      </c>
      <c r="C38" s="62" t="s">
        <v>119</v>
      </c>
      <c r="D38" s="60" t="s">
        <v>54</v>
      </c>
      <c r="E38" s="63" t="s">
        <v>37</v>
      </c>
      <c r="F38" s="62"/>
      <c r="G38" s="44" t="s">
        <v>70</v>
      </c>
    </row>
    <row r="39" ht="15.75" customHeight="1">
      <c r="A39" s="60" t="s">
        <v>16</v>
      </c>
      <c r="B39" s="60" t="s">
        <v>114</v>
      </c>
      <c r="C39" s="62" t="s">
        <v>120</v>
      </c>
      <c r="D39" s="60" t="s">
        <v>54</v>
      </c>
      <c r="E39" s="63" t="s">
        <v>37</v>
      </c>
      <c r="F39" s="62"/>
      <c r="G39" s="44" t="s">
        <v>70</v>
      </c>
    </row>
    <row r="40" ht="15.75" customHeight="1">
      <c r="A40" s="60" t="s">
        <v>16</v>
      </c>
      <c r="B40" s="60" t="s">
        <v>92</v>
      </c>
      <c r="C40" s="62" t="s">
        <v>121</v>
      </c>
      <c r="D40" s="60" t="s">
        <v>54</v>
      </c>
      <c r="E40" s="63" t="s">
        <v>63</v>
      </c>
      <c r="F40" s="65" t="s">
        <v>122</v>
      </c>
      <c r="G40" s="44"/>
    </row>
    <row r="41" ht="15.75" customHeight="1">
      <c r="A41" s="60" t="s">
        <v>16</v>
      </c>
      <c r="B41" s="60" t="s">
        <v>98</v>
      </c>
      <c r="C41" s="62" t="s">
        <v>124</v>
      </c>
      <c r="D41" s="60" t="s">
        <v>54</v>
      </c>
      <c r="E41" s="63" t="s">
        <v>37</v>
      </c>
      <c r="F41" s="62"/>
      <c r="G41" s="44"/>
    </row>
    <row r="42" ht="15.75" customHeight="1">
      <c r="A42" s="63" t="s">
        <v>16</v>
      </c>
      <c r="B42" s="63" t="s">
        <v>73</v>
      </c>
      <c r="C42" s="65" t="s">
        <v>126</v>
      </c>
      <c r="D42" s="63" t="s">
        <v>59</v>
      </c>
      <c r="E42" s="63" t="s">
        <v>37</v>
      </c>
      <c r="F42" s="62"/>
      <c r="G42" s="44" t="s">
        <v>70</v>
      </c>
    </row>
    <row r="43" ht="15.75" customHeight="1">
      <c r="A43" s="69" t="s">
        <v>18</v>
      </c>
      <c r="B43" s="69" t="s">
        <v>73</v>
      </c>
      <c r="C43" s="70" t="s">
        <v>127</v>
      </c>
      <c r="D43" s="69" t="s">
        <v>59</v>
      </c>
      <c r="E43" s="71" t="s">
        <v>41</v>
      </c>
      <c r="F43" s="72"/>
      <c r="G43" s="44"/>
    </row>
    <row r="44" ht="15.75" customHeight="1">
      <c r="A44" s="69" t="s">
        <v>18</v>
      </c>
      <c r="B44" s="69" t="s">
        <v>73</v>
      </c>
      <c r="C44" s="70" t="s">
        <v>129</v>
      </c>
      <c r="D44" s="69" t="s">
        <v>59</v>
      </c>
      <c r="E44" s="71" t="s">
        <v>37</v>
      </c>
      <c r="F44" s="70"/>
      <c r="G44" s="44" t="s">
        <v>70</v>
      </c>
    </row>
    <row r="45" ht="15.75" customHeight="1">
      <c r="A45" s="69" t="s">
        <v>18</v>
      </c>
      <c r="B45" s="69" t="s">
        <v>82</v>
      </c>
      <c r="C45" s="70" t="s">
        <v>131</v>
      </c>
      <c r="D45" s="69" t="s">
        <v>59</v>
      </c>
      <c r="E45" s="71" t="s">
        <v>37</v>
      </c>
      <c r="F45" s="70"/>
      <c r="G45" s="44" t="s">
        <v>70</v>
      </c>
    </row>
    <row r="46" ht="15.75" customHeight="1">
      <c r="A46" s="69" t="s">
        <v>18</v>
      </c>
      <c r="B46" s="69" t="s">
        <v>132</v>
      </c>
      <c r="C46" s="70" t="s">
        <v>133</v>
      </c>
      <c r="D46" s="69" t="s">
        <v>54</v>
      </c>
      <c r="E46" s="71" t="s">
        <v>63</v>
      </c>
      <c r="F46" s="72" t="s">
        <v>134</v>
      </c>
      <c r="G46" s="44" t="s">
        <v>70</v>
      </c>
    </row>
    <row r="47" ht="15.75" customHeight="1">
      <c r="A47" s="69" t="s">
        <v>18</v>
      </c>
      <c r="B47" s="69" t="s">
        <v>114</v>
      </c>
      <c r="C47" s="70" t="s">
        <v>136</v>
      </c>
      <c r="D47" s="69" t="s">
        <v>54</v>
      </c>
      <c r="E47" s="71" t="s">
        <v>37</v>
      </c>
      <c r="F47" s="70"/>
      <c r="G47" s="44" t="s">
        <v>70</v>
      </c>
    </row>
    <row r="48" ht="15.75" customHeight="1">
      <c r="A48" s="69" t="s">
        <v>18</v>
      </c>
      <c r="B48" s="69" t="s">
        <v>114</v>
      </c>
      <c r="C48" s="70" t="s">
        <v>137</v>
      </c>
      <c r="D48" s="69" t="s">
        <v>54</v>
      </c>
      <c r="E48" s="71" t="s">
        <v>37</v>
      </c>
      <c r="F48" s="70"/>
      <c r="G48" s="44" t="s">
        <v>138</v>
      </c>
    </row>
    <row r="49" ht="15.75" customHeight="1">
      <c r="A49" s="69" t="s">
        <v>18</v>
      </c>
      <c r="B49" s="69" t="s">
        <v>92</v>
      </c>
      <c r="C49" s="70" t="s">
        <v>139</v>
      </c>
      <c r="D49" s="69" t="s">
        <v>54</v>
      </c>
      <c r="E49" s="71" t="s">
        <v>37</v>
      </c>
      <c r="F49" s="70"/>
      <c r="G49" s="44" t="s">
        <v>70</v>
      </c>
    </row>
    <row r="50" ht="15.75" customHeight="1">
      <c r="A50" s="79" t="s">
        <v>22</v>
      </c>
      <c r="B50" s="79" t="s">
        <v>73</v>
      </c>
      <c r="C50" s="81" t="s">
        <v>141</v>
      </c>
      <c r="D50" s="79" t="s">
        <v>59</v>
      </c>
      <c r="E50" s="82" t="s">
        <v>63</v>
      </c>
      <c r="F50" s="84" t="s">
        <v>142</v>
      </c>
      <c r="G50" s="44"/>
    </row>
    <row r="51" ht="15.75" customHeight="1">
      <c r="A51" s="79" t="s">
        <v>22</v>
      </c>
      <c r="B51" s="79" t="s">
        <v>73</v>
      </c>
      <c r="C51" s="81" t="s">
        <v>143</v>
      </c>
      <c r="D51" s="79" t="s">
        <v>59</v>
      </c>
      <c r="E51" s="82" t="s">
        <v>63</v>
      </c>
      <c r="F51" s="84" t="s">
        <v>142</v>
      </c>
      <c r="G51" s="44"/>
    </row>
    <row r="52" ht="15.75" customHeight="1">
      <c r="A52" s="79" t="s">
        <v>22</v>
      </c>
      <c r="B52" s="79" t="s">
        <v>73</v>
      </c>
      <c r="C52" s="81" t="s">
        <v>144</v>
      </c>
      <c r="D52" s="79" t="s">
        <v>59</v>
      </c>
      <c r="E52" s="82" t="s">
        <v>63</v>
      </c>
      <c r="F52" s="84" t="s">
        <v>142</v>
      </c>
      <c r="G52" s="44"/>
    </row>
    <row r="53" ht="15.75" customHeight="1">
      <c r="A53" s="79" t="s">
        <v>22</v>
      </c>
      <c r="B53" s="79" t="s">
        <v>78</v>
      </c>
      <c r="C53" s="81" t="s">
        <v>145</v>
      </c>
      <c r="D53" s="79" t="s">
        <v>59</v>
      </c>
      <c r="E53" s="82" t="s">
        <v>63</v>
      </c>
      <c r="F53" s="84" t="s">
        <v>147</v>
      </c>
      <c r="G53" s="44"/>
    </row>
    <row r="54" ht="15.75" customHeight="1">
      <c r="A54" s="79" t="s">
        <v>22</v>
      </c>
      <c r="B54" s="79" t="s">
        <v>78</v>
      </c>
      <c r="C54" s="81" t="s">
        <v>148</v>
      </c>
      <c r="D54" s="82" t="s">
        <v>149</v>
      </c>
      <c r="E54" s="82" t="s">
        <v>37</v>
      </c>
      <c r="F54" s="81"/>
      <c r="G54" s="44" t="s">
        <v>70</v>
      </c>
    </row>
    <row r="55" ht="15.75" customHeight="1">
      <c r="A55" s="79" t="s">
        <v>22</v>
      </c>
      <c r="B55" s="79" t="s">
        <v>82</v>
      </c>
      <c r="C55" s="81" t="s">
        <v>151</v>
      </c>
      <c r="D55" s="79" t="s">
        <v>59</v>
      </c>
      <c r="E55" s="82" t="s">
        <v>37</v>
      </c>
      <c r="F55" s="81"/>
      <c r="G55" s="44" t="s">
        <v>70</v>
      </c>
    </row>
    <row r="56" ht="15.75" customHeight="1">
      <c r="A56" s="79" t="s">
        <v>22</v>
      </c>
      <c r="B56" s="79" t="s">
        <v>82</v>
      </c>
      <c r="C56" s="81" t="s">
        <v>154</v>
      </c>
      <c r="D56" s="79" t="s">
        <v>59</v>
      </c>
      <c r="E56" s="82" t="s">
        <v>37</v>
      </c>
      <c r="F56" s="81"/>
      <c r="G56" s="44" t="s">
        <v>70</v>
      </c>
    </row>
    <row r="57" ht="15.75" customHeight="1">
      <c r="A57" s="79" t="s">
        <v>22</v>
      </c>
      <c r="B57" s="79" t="s">
        <v>82</v>
      </c>
      <c r="C57" s="81" t="s">
        <v>155</v>
      </c>
      <c r="D57" s="79" t="s">
        <v>59</v>
      </c>
      <c r="E57" s="82" t="s">
        <v>37</v>
      </c>
      <c r="F57" s="81"/>
      <c r="G57" s="44"/>
    </row>
    <row r="58" ht="15.75" customHeight="1">
      <c r="A58" s="79" t="s">
        <v>22</v>
      </c>
      <c r="B58" s="79" t="s">
        <v>82</v>
      </c>
      <c r="C58" s="81" t="s">
        <v>158</v>
      </c>
      <c r="D58" s="79" t="s">
        <v>59</v>
      </c>
      <c r="E58" s="82" t="s">
        <v>37</v>
      </c>
      <c r="F58" s="81"/>
      <c r="G58" s="44" t="s">
        <v>70</v>
      </c>
    </row>
    <row r="59" ht="15.75" customHeight="1">
      <c r="A59" s="79" t="s">
        <v>22</v>
      </c>
      <c r="B59" s="79" t="s">
        <v>132</v>
      </c>
      <c r="C59" s="81" t="s">
        <v>159</v>
      </c>
      <c r="D59" s="79" t="s">
        <v>54</v>
      </c>
      <c r="E59" s="82" t="s">
        <v>37</v>
      </c>
      <c r="F59" s="81"/>
      <c r="G59" s="44" t="s">
        <v>70</v>
      </c>
    </row>
    <row r="60" ht="15.75" customHeight="1">
      <c r="A60" s="79" t="s">
        <v>22</v>
      </c>
      <c r="B60" s="79" t="s">
        <v>132</v>
      </c>
      <c r="C60" s="81" t="s">
        <v>160</v>
      </c>
      <c r="D60" s="79" t="s">
        <v>54</v>
      </c>
      <c r="E60" s="82" t="s">
        <v>37</v>
      </c>
      <c r="F60" s="81"/>
      <c r="G60" s="44" t="s">
        <v>70</v>
      </c>
    </row>
    <row r="61" ht="15.75" customHeight="1">
      <c r="A61" s="79" t="s">
        <v>22</v>
      </c>
      <c r="B61" s="79" t="s">
        <v>89</v>
      </c>
      <c r="C61" s="81" t="s">
        <v>162</v>
      </c>
      <c r="D61" s="79" t="s">
        <v>54</v>
      </c>
      <c r="E61" s="82" t="s">
        <v>37</v>
      </c>
      <c r="F61" s="81"/>
      <c r="G61" s="44" t="s">
        <v>70</v>
      </c>
    </row>
    <row r="62" ht="15.75" customHeight="1">
      <c r="A62" s="79" t="s">
        <v>22</v>
      </c>
      <c r="B62" s="79" t="s">
        <v>114</v>
      </c>
      <c r="C62" s="81" t="s">
        <v>163</v>
      </c>
      <c r="D62" s="79" t="s">
        <v>54</v>
      </c>
      <c r="E62" s="82" t="s">
        <v>37</v>
      </c>
      <c r="F62" s="81"/>
      <c r="G62" s="44" t="s">
        <v>70</v>
      </c>
    </row>
    <row r="63" ht="15.75" customHeight="1">
      <c r="A63" s="79" t="s">
        <v>22</v>
      </c>
      <c r="B63" s="79" t="s">
        <v>92</v>
      </c>
      <c r="C63" s="81" t="s">
        <v>165</v>
      </c>
      <c r="D63" s="79" t="s">
        <v>54</v>
      </c>
      <c r="E63" s="82" t="s">
        <v>37</v>
      </c>
      <c r="F63" s="81"/>
      <c r="G63" s="44" t="s">
        <v>70</v>
      </c>
    </row>
    <row r="64" ht="15.75" customHeight="1">
      <c r="A64" s="82" t="s">
        <v>22</v>
      </c>
      <c r="B64" s="82" t="s">
        <v>82</v>
      </c>
      <c r="C64" s="84" t="s">
        <v>166</v>
      </c>
      <c r="D64" s="82" t="s">
        <v>59</v>
      </c>
      <c r="E64" s="82" t="s">
        <v>37</v>
      </c>
      <c r="F64" s="81"/>
      <c r="G64" s="44" t="s">
        <v>70</v>
      </c>
    </row>
    <row r="65" ht="15.75" customHeight="1">
      <c r="A65" s="82" t="s">
        <v>22</v>
      </c>
      <c r="B65" s="82" t="s">
        <v>68</v>
      </c>
      <c r="C65" s="84" t="s">
        <v>168</v>
      </c>
      <c r="D65" s="82" t="s">
        <v>169</v>
      </c>
      <c r="E65" s="82" t="s">
        <v>37</v>
      </c>
      <c r="F65" s="81"/>
      <c r="G65" s="44" t="s">
        <v>70</v>
      </c>
    </row>
    <row r="66" ht="15.75" customHeight="1">
      <c r="A66" s="82" t="s">
        <v>22</v>
      </c>
      <c r="B66" s="82" t="s">
        <v>68</v>
      </c>
      <c r="C66" s="84" t="s">
        <v>170</v>
      </c>
      <c r="D66" s="82" t="s">
        <v>59</v>
      </c>
      <c r="E66" s="82" t="s">
        <v>37</v>
      </c>
      <c r="F66" s="81"/>
      <c r="G66" s="44" t="s">
        <v>70</v>
      </c>
    </row>
    <row r="67" ht="15.75" customHeight="1">
      <c r="A67" s="90" t="s">
        <v>25</v>
      </c>
      <c r="B67" s="90" t="s">
        <v>171</v>
      </c>
      <c r="C67" s="91" t="s">
        <v>172</v>
      </c>
      <c r="D67" s="90" t="s">
        <v>54</v>
      </c>
      <c r="E67" s="92" t="s">
        <v>63</v>
      </c>
      <c r="F67" s="94" t="s">
        <v>173</v>
      </c>
      <c r="G67" s="44"/>
    </row>
    <row r="68" ht="15.75" customHeight="1">
      <c r="A68" s="90" t="s">
        <v>25</v>
      </c>
      <c r="B68" s="90" t="s">
        <v>82</v>
      </c>
      <c r="C68" s="91" t="s">
        <v>174</v>
      </c>
      <c r="D68" s="90" t="s">
        <v>59</v>
      </c>
      <c r="E68" s="92" t="s">
        <v>37</v>
      </c>
      <c r="F68" s="91"/>
      <c r="G68" s="44" t="s">
        <v>70</v>
      </c>
    </row>
    <row r="69" ht="15.75" customHeight="1">
      <c r="A69" s="90" t="s">
        <v>25</v>
      </c>
      <c r="B69" s="90" t="s">
        <v>176</v>
      </c>
      <c r="C69" s="91" t="s">
        <v>177</v>
      </c>
      <c r="D69" s="90" t="s">
        <v>178</v>
      </c>
      <c r="E69" s="92" t="s">
        <v>37</v>
      </c>
      <c r="F69" s="91"/>
      <c r="G69" s="44"/>
    </row>
    <row r="70" ht="15.75" customHeight="1">
      <c r="A70" s="90" t="s">
        <v>25</v>
      </c>
      <c r="B70" s="90" t="s">
        <v>89</v>
      </c>
      <c r="C70" s="91" t="s">
        <v>179</v>
      </c>
      <c r="D70" s="90" t="s">
        <v>54</v>
      </c>
      <c r="E70" s="92" t="s">
        <v>37</v>
      </c>
      <c r="F70" s="91"/>
      <c r="G70" s="44"/>
    </row>
    <row r="71" ht="15.75" customHeight="1">
      <c r="A71" s="90" t="s">
        <v>25</v>
      </c>
      <c r="B71" s="92" t="s">
        <v>89</v>
      </c>
      <c r="C71" s="94" t="s">
        <v>180</v>
      </c>
      <c r="D71" s="90" t="s">
        <v>54</v>
      </c>
      <c r="E71" s="92"/>
      <c r="F71" s="91"/>
      <c r="G71" s="44"/>
    </row>
    <row r="72" ht="15.75" customHeight="1">
      <c r="A72" s="90" t="s">
        <v>25</v>
      </c>
      <c r="B72" s="90" t="s">
        <v>114</v>
      </c>
      <c r="C72" s="91" t="s">
        <v>181</v>
      </c>
      <c r="D72" s="90" t="s">
        <v>54</v>
      </c>
      <c r="E72" s="92" t="s">
        <v>41</v>
      </c>
      <c r="F72" s="91"/>
      <c r="G72" s="44"/>
    </row>
    <row r="73" ht="15.75" customHeight="1">
      <c r="A73" s="90" t="s">
        <v>25</v>
      </c>
      <c r="B73" s="90" t="s">
        <v>92</v>
      </c>
      <c r="C73" s="91" t="s">
        <v>182</v>
      </c>
      <c r="D73" s="90" t="s">
        <v>54</v>
      </c>
      <c r="E73" s="92" t="s">
        <v>183</v>
      </c>
      <c r="F73" s="94" t="s">
        <v>184</v>
      </c>
      <c r="G73" s="44"/>
    </row>
    <row r="74" ht="15.75" customHeight="1">
      <c r="A74" s="90" t="s">
        <v>25</v>
      </c>
      <c r="B74" s="90" t="s">
        <v>92</v>
      </c>
      <c r="C74" s="91" t="s">
        <v>185</v>
      </c>
      <c r="D74" s="90" t="s">
        <v>54</v>
      </c>
      <c r="E74" s="92" t="s">
        <v>37</v>
      </c>
      <c r="F74" s="94" t="s">
        <v>187</v>
      </c>
      <c r="G74" s="44" t="s">
        <v>60</v>
      </c>
    </row>
    <row r="75" ht="15.75" customHeight="1">
      <c r="A75" s="90" t="s">
        <v>25</v>
      </c>
      <c r="B75" s="90" t="s">
        <v>92</v>
      </c>
      <c r="C75" s="91" t="s">
        <v>188</v>
      </c>
      <c r="D75" s="90" t="s">
        <v>54</v>
      </c>
      <c r="E75" s="92" t="s">
        <v>37</v>
      </c>
      <c r="F75" s="91"/>
      <c r="G75" s="44" t="s">
        <v>70</v>
      </c>
    </row>
    <row r="76" ht="15.75" customHeight="1">
      <c r="A76" s="97" t="s">
        <v>27</v>
      </c>
      <c r="B76" s="97" t="s">
        <v>68</v>
      </c>
      <c r="C76" s="99" t="s">
        <v>192</v>
      </c>
      <c r="D76" s="97" t="s">
        <v>59</v>
      </c>
      <c r="E76" s="100" t="s">
        <v>37</v>
      </c>
      <c r="F76" s="99"/>
      <c r="G76" s="44" t="s">
        <v>70</v>
      </c>
    </row>
    <row r="77" ht="15.75" customHeight="1">
      <c r="A77" s="97" t="s">
        <v>27</v>
      </c>
      <c r="B77" s="97" t="s">
        <v>73</v>
      </c>
      <c r="C77" s="99" t="s">
        <v>195</v>
      </c>
      <c r="D77" s="97" t="s">
        <v>59</v>
      </c>
      <c r="E77" s="100" t="s">
        <v>37</v>
      </c>
      <c r="F77" s="99"/>
      <c r="G77" s="44" t="s">
        <v>70</v>
      </c>
    </row>
    <row r="78" ht="15.75" customHeight="1">
      <c r="A78" s="97" t="s">
        <v>27</v>
      </c>
      <c r="B78" s="97" t="s">
        <v>171</v>
      </c>
      <c r="C78" s="99" t="s">
        <v>196</v>
      </c>
      <c r="D78" s="97" t="s">
        <v>54</v>
      </c>
      <c r="E78" s="100" t="s">
        <v>37</v>
      </c>
      <c r="F78" s="99"/>
      <c r="G78" s="44" t="s">
        <v>70</v>
      </c>
    </row>
    <row r="79" ht="15.75" customHeight="1">
      <c r="A79" s="97" t="s">
        <v>27</v>
      </c>
      <c r="B79" s="97" t="s">
        <v>102</v>
      </c>
      <c r="C79" s="99" t="s">
        <v>197</v>
      </c>
      <c r="D79" s="97" t="s">
        <v>54</v>
      </c>
      <c r="E79" s="100" t="s">
        <v>63</v>
      </c>
      <c r="F79" s="101" t="s">
        <v>81</v>
      </c>
      <c r="G79" s="44"/>
    </row>
    <row r="80" ht="15.75" customHeight="1">
      <c r="A80" s="97" t="s">
        <v>27</v>
      </c>
      <c r="B80" s="97" t="s">
        <v>89</v>
      </c>
      <c r="C80" s="99" t="s">
        <v>198</v>
      </c>
      <c r="D80" s="97" t="s">
        <v>54</v>
      </c>
      <c r="E80" s="100" t="s">
        <v>37</v>
      </c>
      <c r="F80" s="99"/>
      <c r="G80" s="44" t="s">
        <v>70</v>
      </c>
    </row>
    <row r="81" ht="15.75" customHeight="1">
      <c r="A81" s="97" t="s">
        <v>27</v>
      </c>
      <c r="B81" s="97" t="s">
        <v>92</v>
      </c>
      <c r="C81" s="99" t="s">
        <v>200</v>
      </c>
      <c r="D81" s="97" t="s">
        <v>54</v>
      </c>
      <c r="E81" s="100" t="s">
        <v>41</v>
      </c>
      <c r="F81" s="99"/>
      <c r="G81" s="44"/>
    </row>
    <row r="82" ht="15.75" customHeight="1">
      <c r="A82" s="97" t="s">
        <v>27</v>
      </c>
      <c r="B82" s="97" t="s">
        <v>92</v>
      </c>
      <c r="C82" s="99" t="s">
        <v>201</v>
      </c>
      <c r="D82" s="97" t="s">
        <v>54</v>
      </c>
      <c r="E82" s="100" t="s">
        <v>37</v>
      </c>
      <c r="F82" s="99"/>
      <c r="G82" s="44" t="s">
        <v>138</v>
      </c>
    </row>
    <row r="83" ht="15.75" customHeight="1">
      <c r="A83" s="97" t="s">
        <v>27</v>
      </c>
      <c r="B83" s="97" t="s">
        <v>92</v>
      </c>
      <c r="C83" s="99" t="s">
        <v>202</v>
      </c>
      <c r="D83" s="97" t="s">
        <v>54</v>
      </c>
      <c r="E83" s="100" t="s">
        <v>37</v>
      </c>
      <c r="F83" s="99"/>
      <c r="G83" s="44" t="s">
        <v>70</v>
      </c>
    </row>
    <row r="84" ht="15.75" customHeight="1">
      <c r="A84" s="104" t="s">
        <v>10</v>
      </c>
      <c r="B84" s="104" t="s">
        <v>82</v>
      </c>
      <c r="C84" s="105" t="s">
        <v>203</v>
      </c>
      <c r="D84" s="104" t="s">
        <v>59</v>
      </c>
      <c r="E84" s="106" t="s">
        <v>41</v>
      </c>
      <c r="F84" s="105"/>
      <c r="G84" s="44"/>
    </row>
    <row r="85" ht="15.75" customHeight="1">
      <c r="A85" s="104" t="s">
        <v>10</v>
      </c>
      <c r="B85" s="104" t="s">
        <v>190</v>
      </c>
      <c r="C85" s="105" t="s">
        <v>205</v>
      </c>
      <c r="D85" s="104" t="s">
        <v>54</v>
      </c>
      <c r="E85" s="106" t="s">
        <v>37</v>
      </c>
      <c r="F85" s="105"/>
      <c r="G85" s="44" t="s">
        <v>70</v>
      </c>
    </row>
    <row r="86" ht="15.75" customHeight="1">
      <c r="A86" s="104" t="s">
        <v>10</v>
      </c>
      <c r="B86" s="104" t="s">
        <v>114</v>
      </c>
      <c r="C86" s="105" t="s">
        <v>207</v>
      </c>
      <c r="D86" s="104" t="s">
        <v>54</v>
      </c>
      <c r="E86" s="106" t="s">
        <v>37</v>
      </c>
      <c r="F86" s="105"/>
      <c r="G86" s="44" t="s">
        <v>70</v>
      </c>
    </row>
    <row r="87" ht="15.75" customHeight="1">
      <c r="A87" s="104" t="s">
        <v>10</v>
      </c>
      <c r="B87" s="104" t="s">
        <v>92</v>
      </c>
      <c r="C87" s="105" t="s">
        <v>208</v>
      </c>
      <c r="D87" s="104" t="s">
        <v>54</v>
      </c>
      <c r="E87" s="106" t="s">
        <v>37</v>
      </c>
      <c r="F87" s="105"/>
      <c r="G87" s="44" t="s">
        <v>60</v>
      </c>
    </row>
    <row r="88" ht="15.75" customHeight="1">
      <c r="A88" s="104" t="s">
        <v>10</v>
      </c>
      <c r="B88" s="104" t="s">
        <v>92</v>
      </c>
      <c r="C88" s="105" t="s">
        <v>209</v>
      </c>
      <c r="D88" s="104" t="s">
        <v>54</v>
      </c>
      <c r="E88" s="106" t="s">
        <v>37</v>
      </c>
      <c r="F88" s="105"/>
      <c r="G88" s="44" t="s">
        <v>70</v>
      </c>
    </row>
    <row r="89" ht="15.75" customHeight="1">
      <c r="A89" s="104" t="s">
        <v>10</v>
      </c>
      <c r="B89" s="104" t="s">
        <v>98</v>
      </c>
      <c r="C89" s="105" t="s">
        <v>212</v>
      </c>
      <c r="D89" s="104" t="s">
        <v>54</v>
      </c>
      <c r="E89" s="106" t="s">
        <v>37</v>
      </c>
      <c r="F89" s="105"/>
      <c r="G89" s="44" t="s">
        <v>70</v>
      </c>
    </row>
    <row r="90" ht="15.75" customHeight="1">
      <c r="A90" s="109" t="s">
        <v>14</v>
      </c>
      <c r="B90" s="109" t="s">
        <v>102</v>
      </c>
      <c r="C90" s="111" t="s">
        <v>213</v>
      </c>
      <c r="D90" s="109" t="s">
        <v>54</v>
      </c>
      <c r="E90" s="112" t="s">
        <v>37</v>
      </c>
      <c r="F90" s="111"/>
      <c r="G90" s="44" t="s">
        <v>70</v>
      </c>
    </row>
    <row r="91" ht="15.75" customHeight="1">
      <c r="A91" s="109" t="s">
        <v>14</v>
      </c>
      <c r="B91" s="109" t="s">
        <v>190</v>
      </c>
      <c r="C91" s="111" t="s">
        <v>215</v>
      </c>
      <c r="D91" s="109" t="s">
        <v>54</v>
      </c>
      <c r="E91" s="112" t="s">
        <v>37</v>
      </c>
      <c r="F91" s="111"/>
      <c r="G91" s="44" t="s">
        <v>70</v>
      </c>
    </row>
    <row r="92" ht="15.75" customHeight="1">
      <c r="A92" s="109" t="s">
        <v>14</v>
      </c>
      <c r="B92" s="109" t="s">
        <v>89</v>
      </c>
      <c r="C92" s="111" t="s">
        <v>216</v>
      </c>
      <c r="D92" s="109" t="s">
        <v>54</v>
      </c>
      <c r="E92" s="112" t="s">
        <v>37</v>
      </c>
      <c r="F92" s="111"/>
      <c r="G92" s="44" t="s">
        <v>60</v>
      </c>
    </row>
    <row r="93" ht="15.75" customHeight="1">
      <c r="A93" s="109" t="s">
        <v>14</v>
      </c>
      <c r="B93" s="109" t="s">
        <v>114</v>
      </c>
      <c r="C93" s="111" t="s">
        <v>217</v>
      </c>
      <c r="D93" s="109" t="s">
        <v>54</v>
      </c>
      <c r="E93" s="112" t="s">
        <v>37</v>
      </c>
      <c r="F93" s="111"/>
      <c r="G93" s="44" t="s">
        <v>60</v>
      </c>
    </row>
    <row r="94" ht="15.75" customHeight="1">
      <c r="A94" s="109" t="s">
        <v>14</v>
      </c>
      <c r="B94" s="109" t="s">
        <v>114</v>
      </c>
      <c r="C94" s="111" t="s">
        <v>218</v>
      </c>
      <c r="D94" s="109" t="s">
        <v>54</v>
      </c>
      <c r="E94" s="112" t="s">
        <v>41</v>
      </c>
      <c r="F94" s="111"/>
      <c r="G94" s="44"/>
    </row>
    <row r="95" ht="15.75" customHeight="1">
      <c r="A95" s="109" t="s">
        <v>14</v>
      </c>
      <c r="B95" s="109" t="s">
        <v>114</v>
      </c>
      <c r="C95" s="111" t="s">
        <v>219</v>
      </c>
      <c r="D95" s="109" t="s">
        <v>54</v>
      </c>
      <c r="E95" s="112" t="s">
        <v>37</v>
      </c>
      <c r="F95" s="111"/>
      <c r="G95" s="44" t="s">
        <v>70</v>
      </c>
    </row>
    <row r="96" ht="15.75" customHeight="1">
      <c r="A96" s="109" t="s">
        <v>14</v>
      </c>
      <c r="B96" s="109" t="s">
        <v>92</v>
      </c>
      <c r="C96" s="111" t="s">
        <v>220</v>
      </c>
      <c r="D96" s="109" t="s">
        <v>54</v>
      </c>
      <c r="E96" s="112" t="s">
        <v>37</v>
      </c>
      <c r="F96" s="111"/>
      <c r="G96" s="44"/>
    </row>
    <row r="97" ht="15.75" customHeight="1">
      <c r="A97" s="109" t="s">
        <v>14</v>
      </c>
      <c r="B97" s="109" t="s">
        <v>221</v>
      </c>
      <c r="C97" s="111" t="s">
        <v>222</v>
      </c>
      <c r="D97" s="109" t="s">
        <v>178</v>
      </c>
      <c r="E97" s="112" t="s">
        <v>63</v>
      </c>
      <c r="F97" s="115" t="s">
        <v>223</v>
      </c>
      <c r="G97" s="44"/>
    </row>
    <row r="98" ht="15.75" customHeight="1">
      <c r="A98" s="109" t="s">
        <v>14</v>
      </c>
      <c r="B98" s="109" t="s">
        <v>98</v>
      </c>
      <c r="C98" s="111" t="s">
        <v>224</v>
      </c>
      <c r="D98" s="109" t="s">
        <v>54</v>
      </c>
      <c r="E98" s="112" t="s">
        <v>37</v>
      </c>
      <c r="F98" s="111"/>
      <c r="G98" s="44" t="s">
        <v>70</v>
      </c>
    </row>
    <row r="99" ht="14.25" customHeight="1">
      <c r="G99" s="4" t="s">
        <v>225</v>
      </c>
    </row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F$98"/>
  <mergeCells count="3">
    <mergeCell ref="A1:F2"/>
    <mergeCell ref="A3:F3"/>
    <mergeCell ref="A5:B5"/>
  </mergeCells>
  <conditionalFormatting sqref="A10:F98">
    <cfRule type="expression" dxfId="1" priority="1">
      <formula>$E10="Present"</formula>
    </cfRule>
  </conditionalFormatting>
  <conditionalFormatting sqref="A10:F98">
    <cfRule type="expression" dxfId="2" priority="2">
      <formula>$E10="SUTA"</formula>
    </cfRule>
  </conditionalFormatting>
  <conditionalFormatting sqref="A10:F98">
    <cfRule type="expression" dxfId="0" priority="3">
      <formula>$E10="AWOL"</formula>
    </cfRule>
  </conditionalFormatting>
  <conditionalFormatting sqref="A10:F98">
    <cfRule type="expression" dxfId="3" priority="4">
      <formula>$E10="Off-Site Training"</formula>
    </cfRule>
  </conditionalFormatting>
  <dataValidations>
    <dataValidation type="list" allowBlank="1" sqref="E10:E98">
      <formula1>"Present,SUTA,Off-Site Training,AWOL,Profile,Appointment,Sick Call,Other"</formula1>
    </dataValidation>
    <dataValidation type="list" allowBlank="1" sqref="G10:G98">
      <formula1>"PASS,FAIL,Did not take"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2.71"/>
    <col customWidth="1" min="3" max="3" width="13.71"/>
    <col customWidth="1" min="4" max="4" width="22.57"/>
    <col customWidth="1" min="5" max="5" width="13.0"/>
    <col customWidth="1" min="6" max="6" width="17.29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4" t="s">
        <v>8</v>
      </c>
      <c r="B2" s="6">
        <v>46023.0</v>
      </c>
      <c r="C2" s="8" t="s">
        <v>9</v>
      </c>
      <c r="D2" s="6">
        <v>46085.0</v>
      </c>
      <c r="E2" s="6">
        <v>46055.0</v>
      </c>
      <c r="F2" s="6">
        <v>46032.0</v>
      </c>
    </row>
    <row r="3">
      <c r="A3" s="4" t="s">
        <v>10</v>
      </c>
      <c r="B3" s="8" t="s">
        <v>12</v>
      </c>
      <c r="C3" s="8" t="s">
        <v>12</v>
      </c>
      <c r="D3" s="6">
        <v>46024.0</v>
      </c>
      <c r="E3" s="8" t="s">
        <v>13</v>
      </c>
      <c r="F3" s="6">
        <v>46148.0</v>
      </c>
    </row>
    <row r="4">
      <c r="A4" s="4" t="s">
        <v>14</v>
      </c>
      <c r="B4" s="8" t="s">
        <v>13</v>
      </c>
      <c r="C4" s="8" t="s">
        <v>12</v>
      </c>
      <c r="D4" s="6">
        <v>46084.0</v>
      </c>
      <c r="E4" s="6">
        <v>46023.0</v>
      </c>
      <c r="F4" s="8" t="s">
        <v>15</v>
      </c>
    </row>
    <row r="5">
      <c r="A5" s="4" t="s">
        <v>16</v>
      </c>
      <c r="B5" s="8" t="s">
        <v>17</v>
      </c>
      <c r="C5" s="8">
        <v>0.0</v>
      </c>
      <c r="D5" s="6">
        <v>46055.0</v>
      </c>
      <c r="E5" s="6">
        <v>46023.0</v>
      </c>
      <c r="F5" s="6">
        <v>46210.0</v>
      </c>
    </row>
    <row r="6">
      <c r="A6" s="4" t="s">
        <v>18</v>
      </c>
      <c r="B6" s="8" t="s">
        <v>12</v>
      </c>
      <c r="C6" s="8" t="s">
        <v>19</v>
      </c>
      <c r="D6" s="6">
        <v>46055.0</v>
      </c>
      <c r="E6" s="15"/>
      <c r="F6" s="6">
        <v>46147.0</v>
      </c>
    </row>
    <row r="7">
      <c r="A7" s="4" t="s">
        <v>22</v>
      </c>
      <c r="B7" s="8">
        <v>0.0</v>
      </c>
      <c r="C7" s="6">
        <v>46056.0</v>
      </c>
      <c r="D7" s="6">
        <v>46055.0</v>
      </c>
      <c r="E7" s="8" t="s">
        <v>9</v>
      </c>
      <c r="F7" s="8" t="s">
        <v>24</v>
      </c>
    </row>
    <row r="8">
      <c r="A8" s="4" t="s">
        <v>25</v>
      </c>
      <c r="B8" s="8" t="s">
        <v>9</v>
      </c>
      <c r="C8" s="8" t="s">
        <v>26</v>
      </c>
      <c r="D8" s="8">
        <v>0.0</v>
      </c>
      <c r="E8" s="15"/>
      <c r="F8" s="6">
        <v>46242.0</v>
      </c>
    </row>
    <row r="9">
      <c r="A9" s="4" t="s">
        <v>27</v>
      </c>
      <c r="B9" s="8" t="s">
        <v>12</v>
      </c>
      <c r="C9" s="8" t="s">
        <v>12</v>
      </c>
      <c r="D9" s="8" t="s">
        <v>28</v>
      </c>
      <c r="E9" s="6">
        <v>46023.0</v>
      </c>
      <c r="F9" s="6">
        <v>46180.0</v>
      </c>
    </row>
    <row r="10">
      <c r="A10" s="1" t="s">
        <v>29</v>
      </c>
      <c r="B10" s="20">
        <v>46026.0</v>
      </c>
      <c r="C10" s="20">
        <v>46059.0</v>
      </c>
      <c r="D10" s="22" t="s">
        <v>31</v>
      </c>
      <c r="E10" s="22" t="s">
        <v>32</v>
      </c>
      <c r="F10" s="22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30.0"/>
    <col customWidth="1" min="2" max="9" width="8.0"/>
    <col customWidth="1" min="10" max="10" width="9.0"/>
    <col customWidth="1" min="11" max="11" width="12.0"/>
    <col customWidth="1" min="12" max="25" width="8.71"/>
  </cols>
  <sheetData>
    <row r="1" ht="27.75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7"/>
    </row>
    <row r="2" ht="6.0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3"/>
    </row>
    <row r="3" ht="18.0" customHeight="1">
      <c r="A3" s="17" t="s">
        <v>20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21"/>
    </row>
    <row r="4" ht="7.5" customHeight="1"/>
    <row r="5" ht="15.75" customHeight="1">
      <c r="A5" s="30" t="s">
        <v>40</v>
      </c>
      <c r="B5" s="21"/>
    </row>
    <row r="6" ht="15.75" customHeight="1">
      <c r="A6" s="33"/>
      <c r="B6" s="35" t="s">
        <v>48</v>
      </c>
    </row>
    <row r="7" ht="15.75" customHeight="1">
      <c r="A7" s="36"/>
      <c r="B7" s="35" t="s">
        <v>50</v>
      </c>
    </row>
    <row r="8" ht="15.75" customHeight="1">
      <c r="A8" s="38"/>
      <c r="B8" s="35" t="s">
        <v>53</v>
      </c>
    </row>
    <row r="9" ht="7.5" customHeight="1"/>
    <row r="10" ht="18.0" customHeight="1">
      <c r="B10" s="40" t="s">
        <v>55</v>
      </c>
      <c r="C10" s="19"/>
      <c r="D10" s="19"/>
      <c r="E10" s="19"/>
      <c r="F10" s="19"/>
      <c r="G10" s="19"/>
      <c r="H10" s="19"/>
      <c r="I10" s="19"/>
      <c r="J10" s="21"/>
    </row>
    <row r="11" ht="30.0" customHeight="1">
      <c r="A11" s="42" t="s">
        <v>56</v>
      </c>
      <c r="B11" s="43" t="s">
        <v>49</v>
      </c>
      <c r="C11" s="43" t="s">
        <v>8</v>
      </c>
      <c r="D11" s="43" t="s">
        <v>16</v>
      </c>
      <c r="E11" s="43" t="s">
        <v>18</v>
      </c>
      <c r="F11" s="43" t="s">
        <v>22</v>
      </c>
      <c r="G11" s="43" t="s">
        <v>25</v>
      </c>
      <c r="H11" s="43" t="s">
        <v>27</v>
      </c>
      <c r="I11" s="43" t="s">
        <v>10</v>
      </c>
      <c r="J11" s="43" t="s">
        <v>14</v>
      </c>
      <c r="K11" s="46" t="s">
        <v>64</v>
      </c>
    </row>
    <row r="12" ht="21.75" customHeight="1">
      <c r="A12" s="48" t="s">
        <v>66</v>
      </c>
      <c r="B12" s="49"/>
      <c r="C12" s="49"/>
      <c r="D12" s="49"/>
      <c r="E12" s="49"/>
      <c r="F12" s="49"/>
      <c r="G12" s="49"/>
      <c r="H12" s="49"/>
      <c r="I12" s="49"/>
      <c r="J12" s="49"/>
      <c r="K12" s="53">
        <f t="shared" ref="K12:K16" si="1">SUM(B12:J12)</f>
        <v>0</v>
      </c>
    </row>
    <row r="13" ht="21.75" customHeight="1">
      <c r="A13" s="54" t="s">
        <v>75</v>
      </c>
      <c r="B13" s="49"/>
      <c r="C13" s="49"/>
      <c r="D13" s="49"/>
      <c r="E13" s="49"/>
      <c r="F13" s="49"/>
      <c r="G13" s="49"/>
      <c r="H13" s="49"/>
      <c r="I13" s="49"/>
      <c r="J13" s="49"/>
      <c r="K13" s="53">
        <f t="shared" si="1"/>
        <v>0</v>
      </c>
    </row>
    <row r="14" ht="21.75" customHeight="1">
      <c r="A14" s="55" t="s">
        <v>80</v>
      </c>
      <c r="B14" s="49"/>
      <c r="C14" s="49"/>
      <c r="D14" s="49"/>
      <c r="E14" s="49"/>
      <c r="F14" s="49"/>
      <c r="G14" s="49"/>
      <c r="H14" s="49"/>
      <c r="I14" s="49"/>
      <c r="J14" s="49"/>
      <c r="K14" s="53">
        <f t="shared" si="1"/>
        <v>0</v>
      </c>
    </row>
    <row r="15" ht="21.75" customHeight="1">
      <c r="A15" s="58" t="s">
        <v>84</v>
      </c>
      <c r="B15" s="49"/>
      <c r="C15" s="49"/>
      <c r="D15" s="49"/>
      <c r="E15" s="49"/>
      <c r="F15" s="49"/>
      <c r="G15" s="49"/>
      <c r="H15" s="49"/>
      <c r="I15" s="49"/>
      <c r="J15" s="49"/>
      <c r="K15" s="53">
        <f t="shared" si="1"/>
        <v>0</v>
      </c>
    </row>
    <row r="16" ht="21.75" customHeight="1">
      <c r="A16" s="59" t="s">
        <v>91</v>
      </c>
      <c r="B16" s="49"/>
      <c r="C16" s="49"/>
      <c r="D16" s="49"/>
      <c r="E16" s="49"/>
      <c r="F16" s="49"/>
      <c r="G16" s="49"/>
      <c r="H16" s="49"/>
      <c r="I16" s="49"/>
      <c r="J16" s="49"/>
      <c r="K16" s="53">
        <f t="shared" si="1"/>
        <v>0</v>
      </c>
    </row>
    <row r="17" ht="24.0" customHeight="1">
      <c r="A17" s="53" t="s">
        <v>95</v>
      </c>
      <c r="B17" s="53">
        <f t="shared" ref="B17:K17" si="2">SUM(B12:B16)</f>
        <v>0</v>
      </c>
      <c r="C17" s="53">
        <f t="shared" si="2"/>
        <v>0</v>
      </c>
      <c r="D17" s="53">
        <f t="shared" si="2"/>
        <v>0</v>
      </c>
      <c r="E17" s="53">
        <f t="shared" si="2"/>
        <v>0</v>
      </c>
      <c r="F17" s="53">
        <f t="shared" si="2"/>
        <v>0</v>
      </c>
      <c r="G17" s="53">
        <f t="shared" si="2"/>
        <v>0</v>
      </c>
      <c r="H17" s="53">
        <f t="shared" si="2"/>
        <v>0</v>
      </c>
      <c r="I17" s="53">
        <f t="shared" si="2"/>
        <v>0</v>
      </c>
      <c r="J17" s="53">
        <f t="shared" si="2"/>
        <v>0</v>
      </c>
      <c r="K17" s="61">
        <f t="shared" si="2"/>
        <v>0</v>
      </c>
    </row>
    <row r="18" ht="9.75" customHeight="1"/>
    <row r="19" ht="21.75" customHeight="1">
      <c r="A19" s="64" t="s">
        <v>105</v>
      </c>
      <c r="B19" s="19"/>
      <c r="C19" s="19"/>
      <c r="D19" s="21"/>
    </row>
    <row r="20" ht="19.5" customHeight="1">
      <c r="A20" s="66" t="s">
        <v>110</v>
      </c>
      <c r="B20" s="12"/>
      <c r="C20" s="14"/>
      <c r="D20" s="67">
        <f>COUNTIF('Attendance Report'!F10:F97,"Present")</f>
        <v>65</v>
      </c>
    </row>
    <row r="21" ht="19.5" customHeight="1">
      <c r="A21" s="66" t="s">
        <v>123</v>
      </c>
      <c r="B21" s="12"/>
      <c r="C21" s="14"/>
      <c r="D21" s="67">
        <f>K17</f>
        <v>0</v>
      </c>
    </row>
    <row r="22" ht="19.5" customHeight="1">
      <c r="A22" s="66" t="s">
        <v>130</v>
      </c>
      <c r="B22" s="12"/>
      <c r="C22" s="14"/>
      <c r="D22" s="67">
        <f>D20-D21</f>
        <v>65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2"/>
    <mergeCell ref="A3:L3"/>
    <mergeCell ref="A5:B5"/>
    <mergeCell ref="B10:J10"/>
    <mergeCell ref="A19:D19"/>
    <mergeCell ref="A20:C20"/>
    <mergeCell ref="A21:C21"/>
    <mergeCell ref="A22:C22"/>
  </mergeCells>
  <conditionalFormatting sqref="D22">
    <cfRule type="expression" dxfId="0" priority="1">
      <formula>D22&lt;&gt;0</formula>
    </cfRule>
  </conditionalFormatting>
  <conditionalFormatting sqref="D22">
    <cfRule type="expression" dxfId="1" priority="2">
      <formula>D22=0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20.57"/>
    <col customWidth="1" min="14" max="14" width="39.57"/>
  </cols>
  <sheetData>
    <row r="1">
      <c r="A1" s="73" t="s">
        <v>128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  <c r="N1" s="78" t="s">
        <v>140</v>
      </c>
      <c r="O1" s="14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83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3"/>
      <c r="N2" s="85" t="s">
        <v>146</v>
      </c>
      <c r="O2" s="14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86" t="s">
        <v>152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4"/>
      <c r="N3" s="87" t="s">
        <v>156</v>
      </c>
      <c r="O3" s="87" t="s">
        <v>157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8" t="s">
        <v>161</v>
      </c>
      <c r="O4" s="89">
        <f>COUNTA('Attendance Report'!B10:B98)</f>
        <v>85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93" t="s">
        <v>40</v>
      </c>
      <c r="B5" s="14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8" t="s">
        <v>175</v>
      </c>
      <c r="O5" s="89">
        <f>COUNTIF('Attendance Report'!F10:F98,"Present")</f>
        <v>65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95"/>
      <c r="B6" s="96" t="s">
        <v>186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8" t="s">
        <v>189</v>
      </c>
      <c r="O6" s="89">
        <f>B16</f>
        <v>84</v>
      </c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98"/>
      <c r="B7" s="96" t="s">
        <v>193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8" t="s">
        <v>194</v>
      </c>
      <c r="O7" s="89">
        <f>COUNTIF('Attendance Report'!H10:H94,"")</f>
        <v>0</v>
      </c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102" t="s">
        <v>199</v>
      </c>
      <c r="O8" s="103">
        <f>O5-O6</f>
        <v>-19</v>
      </c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80"/>
      <c r="B9" s="80"/>
      <c r="C9" s="80"/>
      <c r="D9" s="107" t="s">
        <v>204</v>
      </c>
      <c r="E9" s="12"/>
      <c r="F9" s="12"/>
      <c r="G9" s="12"/>
      <c r="H9" s="12"/>
      <c r="I9" s="12"/>
      <c r="J9" s="12"/>
      <c r="K9" s="12"/>
      <c r="L9" s="14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108" t="s">
        <v>56</v>
      </c>
      <c r="B10" s="108" t="s">
        <v>210</v>
      </c>
      <c r="C10" s="108" t="s">
        <v>211</v>
      </c>
      <c r="D10" s="108" t="s">
        <v>49</v>
      </c>
      <c r="E10" s="108" t="s">
        <v>8</v>
      </c>
      <c r="F10" s="108" t="s">
        <v>16</v>
      </c>
      <c r="G10" s="108" t="s">
        <v>18</v>
      </c>
      <c r="H10" s="108" t="s">
        <v>22</v>
      </c>
      <c r="I10" s="108" t="s">
        <v>25</v>
      </c>
      <c r="J10" s="108" t="s">
        <v>27</v>
      </c>
      <c r="K10" s="108" t="s">
        <v>10</v>
      </c>
      <c r="L10" s="108" t="s">
        <v>14</v>
      </c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110" t="s">
        <v>66</v>
      </c>
      <c r="B11" s="113">
        <f>COUNTIF('Attendance Report'!H10:H98,A11)</f>
        <v>84</v>
      </c>
      <c r="C11" s="114">
        <f>COUNTIFS('Attendance Report'!H10:H98,A11,'Attendance Report'!F10:F98,"Present")</f>
        <v>65</v>
      </c>
      <c r="D11" s="114">
        <f>COUNTIFS('Attendance Report'!H10:H98,A11,'Attendance Report'!A10:A98,"CMD")</f>
        <v>5</v>
      </c>
      <c r="E11" s="113">
        <f>COUNTIFS('Attendance Report'!H10:H98,A11,'Attendance Report'!A10:A98,"HQ")</f>
        <v>15</v>
      </c>
      <c r="F11" s="113">
        <f>COUNTIFS('Attendance Report'!H10:H98,A11,'Attendance Report'!A10:A98,"S1")</f>
        <v>11</v>
      </c>
      <c r="G11" s="113">
        <f>COUNTIFS('Attendance Report'!H10:H98,A11,'Attendance Report'!A10:A98,"S2")</f>
        <v>7</v>
      </c>
      <c r="H11" s="113">
        <f>COUNTIFS('Attendance Report'!H10:H98,A11,'Attendance Report'!A10:A98,"S3")</f>
        <v>16</v>
      </c>
      <c r="I11" s="113">
        <f>COUNTIFS('Attendance Report'!H10:H98,A11,'Attendance Report'!A10:A98,"S4")</f>
        <v>9</v>
      </c>
      <c r="J11" s="113">
        <f>COUNTIFS('Attendance Report'!H10:H98,A11,'Attendance Report'!A10:A98,"S6")</f>
        <v>7</v>
      </c>
      <c r="K11" s="113">
        <f>COUNTIFS('Attendance Report'!H10:H98,A11,'Attendance Report'!A10:A98,"MED")</f>
        <v>6</v>
      </c>
      <c r="L11" s="113">
        <f>COUNTIFS('Attendance Report'!H10:H98,A11,'Attendance Report'!A10:A98,"SURVEY")</f>
        <v>8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116" t="s">
        <v>75</v>
      </c>
      <c r="B12" s="117">
        <f>COUNTIF('Attendance Report'!H10:H98,A12)</f>
        <v>0</v>
      </c>
      <c r="C12" s="117">
        <f>COUNTIFS('Attendance Report'!H10:H98,A12,'Attendance Report'!F10:F98,"Present")</f>
        <v>0</v>
      </c>
      <c r="D12" s="117">
        <f>COUNTIFS('Attendance Report'!H10:H98,A12,'Attendance Report'!A10:A98,"CMD")</f>
        <v>0</v>
      </c>
      <c r="E12" s="117">
        <f>COUNTIFS('Attendance Report'!H10:H98,A12,'Attendance Report'!A10:A98,"HQ")</f>
        <v>0</v>
      </c>
      <c r="F12" s="117">
        <f>COUNTIFS('Attendance Report'!H10:H98,A12,'Attendance Report'!A10:A98,"S1")</f>
        <v>0</v>
      </c>
      <c r="G12" s="117">
        <f>COUNTIFS('Attendance Report'!H10:H98,A12,'Attendance Report'!A10:A98,"S2")</f>
        <v>0</v>
      </c>
      <c r="H12" s="117">
        <f>COUNTIFS('Attendance Report'!H10:H98,A12,'Attendance Report'!A10:A98,"S3")</f>
        <v>0</v>
      </c>
      <c r="I12" s="117">
        <f>COUNTIFS('Attendance Report'!H10:H98,A12,'Attendance Report'!A10:A98,"S4")</f>
        <v>0</v>
      </c>
      <c r="J12" s="117">
        <f>COUNTIFS('Attendance Report'!H10:H98,A12,'Attendance Report'!A10:A98,"S6")</f>
        <v>0</v>
      </c>
      <c r="K12" s="117">
        <f>COUNTIFS('Attendance Report'!H10:H98,A12,'Attendance Report'!A10:A98,"MED")</f>
        <v>0</v>
      </c>
      <c r="L12" s="117">
        <f>COUNTIFS('Attendance Report'!H10:H98,A12,'Attendance Report'!A10:A98,"SURVEY")</f>
        <v>0</v>
      </c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121" t="s">
        <v>80</v>
      </c>
      <c r="B13" s="122">
        <f>COUNTIF('Attendance Report'!H10:H98,A13)</f>
        <v>0</v>
      </c>
      <c r="C13" s="122">
        <f>COUNTIFS('Attendance Report'!H10:H98,A13,'Attendance Report'!F10:F98,"Present")</f>
        <v>0</v>
      </c>
      <c r="D13" s="122">
        <f>COUNTIFS('Attendance Report'!H10:H98,A13,'Attendance Report'!A10:A98,"CMD")</f>
        <v>0</v>
      </c>
      <c r="E13" s="122">
        <f>COUNTIFS('Attendance Report'!H10:H98,A13,'Attendance Report'!A10:A98,"HQ")</f>
        <v>0</v>
      </c>
      <c r="F13" s="122">
        <f>COUNTIFS('Attendance Report'!H10:H98,A13,'Attendance Report'!A10:A98,"S1")</f>
        <v>0</v>
      </c>
      <c r="G13" s="122">
        <f>COUNTIFS('Attendance Report'!H10:H98,A13,'Attendance Report'!A10:A98,"S2")</f>
        <v>0</v>
      </c>
      <c r="H13" s="122">
        <f>COUNTIFS('Attendance Report'!H10:H98,A13,'Attendance Report'!A10:A98,"S3")</f>
        <v>0</v>
      </c>
      <c r="I13" s="122">
        <f>COUNTIFS('Attendance Report'!H10:H98,A13,'Attendance Report'!A10:A98,"S4")</f>
        <v>0</v>
      </c>
      <c r="J13" s="122">
        <f>COUNTIFS('Attendance Report'!H10:H98,A13,'Attendance Report'!A10:A98,"S6")</f>
        <v>0</v>
      </c>
      <c r="K13" s="122">
        <f>COUNTIFS('Attendance Report'!H10:H98,A13,'Attendance Report'!A10:A98,"MED")</f>
        <v>0</v>
      </c>
      <c r="L13" s="122">
        <f>COUNTIFS('Attendance Report'!H10:H98,A13,'Attendance Report'!A10:A98,"SURVEY")</f>
        <v>0</v>
      </c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126" t="s">
        <v>84</v>
      </c>
      <c r="B14" s="127">
        <f>COUNTIF('Attendance Report'!H10:H98,A14)</f>
        <v>0</v>
      </c>
      <c r="C14" s="127">
        <f>COUNTIFS('Attendance Report'!H10:H98,A14,'Attendance Report'!F10:F98,"Present")</f>
        <v>0</v>
      </c>
      <c r="D14" s="127">
        <f>COUNTIFS('Attendance Report'!H10:H98,A14,'Attendance Report'!A10:A98,"CMD")</f>
        <v>0</v>
      </c>
      <c r="E14" s="127">
        <f>COUNTIFS('Attendance Report'!H10:H98,A14,'Attendance Report'!A10:A98,"HQ")</f>
        <v>0</v>
      </c>
      <c r="F14" s="127">
        <f>COUNTIFS('Attendance Report'!H10:H98,A14,'Attendance Report'!A10:A98,"S1")</f>
        <v>0</v>
      </c>
      <c r="G14" s="127">
        <f>COUNTIFS('Attendance Report'!H10:H98,A14,'Attendance Report'!A10:A98,"S2")</f>
        <v>0</v>
      </c>
      <c r="H14" s="127">
        <f>COUNTIFS('Attendance Report'!H10:H98,A14,'Attendance Report'!A10:A98,"S3")</f>
        <v>0</v>
      </c>
      <c r="I14" s="127">
        <f>COUNTIFS('Attendance Report'!H10:H98,A14,'Attendance Report'!A10:A98,"S4")</f>
        <v>0</v>
      </c>
      <c r="J14" s="127">
        <f>COUNTIFS('Attendance Report'!H10:H98,A14,'Attendance Report'!A10:A98,"S6")</f>
        <v>0</v>
      </c>
      <c r="K14" s="127">
        <f>COUNTIFS('Attendance Report'!H10:H98,A14,'Attendance Report'!A10:A98,"MED")</f>
        <v>0</v>
      </c>
      <c r="L14" s="127">
        <f>COUNTIFS('Attendance Report'!H10:H98,A14,'Attendance Report'!A10:A98,"SURVEY")</f>
        <v>0</v>
      </c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137" t="s">
        <v>91</v>
      </c>
      <c r="B15" s="138">
        <f>COUNTIF('Attendance Report'!H10:H98,A15)</f>
        <v>0</v>
      </c>
      <c r="C15" s="138">
        <f>COUNTIFS('Attendance Report'!H10:H98,A15,'Attendance Report'!F10:F98,"Present")</f>
        <v>0</v>
      </c>
      <c r="D15" s="138">
        <f>COUNTIFS('Attendance Report'!H10:H98,A15,'Attendance Report'!A10:A98,"CMD")</f>
        <v>0</v>
      </c>
      <c r="E15" s="138">
        <f>COUNTIFS('Attendance Report'!H10:H98,A15,'Attendance Report'!A10:A98,"HQ")</f>
        <v>0</v>
      </c>
      <c r="F15" s="138">
        <f>COUNTIFS('Attendance Report'!H10:H98,A15,'Attendance Report'!A10:A98,"S1")</f>
        <v>0</v>
      </c>
      <c r="G15" s="138">
        <f>COUNTIFS('Attendance Report'!H10:H98,A15,'Attendance Report'!A10:A98,"S2")</f>
        <v>0</v>
      </c>
      <c r="H15" s="138">
        <f>COUNTIFS('Attendance Report'!H10:H98,A15,'Attendance Report'!A10:A98,"S3")</f>
        <v>0</v>
      </c>
      <c r="I15" s="138">
        <f>COUNTIFS('Attendance Report'!H10:H98,A15,'Attendance Report'!A10:A98,"S4")</f>
        <v>0</v>
      </c>
      <c r="J15" s="138">
        <f>COUNTIFS('Attendance Report'!H10:H98,A15,'Attendance Report'!A10:A98,"S6")</f>
        <v>0</v>
      </c>
      <c r="K15" s="138">
        <f>COUNTIFS('Attendance Report'!H10:H98,A15,'Attendance Report'!A10:A98,"MED")</f>
        <v>0</v>
      </c>
      <c r="L15" s="138">
        <f>COUNTIFS('Attendance Report'!H10:H98,A15,'Attendance Report'!A10:A98,"SURVEY")</f>
        <v>0</v>
      </c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139" t="s">
        <v>125</v>
      </c>
      <c r="B16" s="139">
        <f t="shared" ref="B16:L16" si="1">SUM(B11:B15)</f>
        <v>84</v>
      </c>
      <c r="C16" s="139">
        <f t="shared" si="1"/>
        <v>65</v>
      </c>
      <c r="D16" s="139">
        <f t="shared" si="1"/>
        <v>5</v>
      </c>
      <c r="E16" s="139">
        <f t="shared" si="1"/>
        <v>15</v>
      </c>
      <c r="F16" s="139">
        <f t="shared" si="1"/>
        <v>11</v>
      </c>
      <c r="G16" s="139">
        <f t="shared" si="1"/>
        <v>7</v>
      </c>
      <c r="H16" s="139">
        <f t="shared" si="1"/>
        <v>16</v>
      </c>
      <c r="I16" s="139">
        <f t="shared" si="1"/>
        <v>9</v>
      </c>
      <c r="J16" s="139">
        <f t="shared" si="1"/>
        <v>7</v>
      </c>
      <c r="K16" s="139">
        <f t="shared" si="1"/>
        <v>6</v>
      </c>
      <c r="L16" s="139">
        <f t="shared" si="1"/>
        <v>8</v>
      </c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mergeCells count="6">
    <mergeCell ref="A1:M2"/>
    <mergeCell ref="N1:O1"/>
    <mergeCell ref="N2:O2"/>
    <mergeCell ref="A3:M3"/>
    <mergeCell ref="A5:B5"/>
    <mergeCell ref="D9:L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8.0"/>
    <col customWidth="1" min="3" max="3" width="14.0"/>
    <col customWidth="1" min="4" max="5" width="16.0"/>
    <col customWidth="1" min="6" max="6" width="20.0"/>
    <col customWidth="1" min="7" max="7" width="24.0"/>
    <col customWidth="1" min="8" max="8" width="8.57"/>
    <col customWidth="1" min="9" max="9" width="18.0"/>
    <col customWidth="1" min="10" max="11" width="10.0"/>
    <col customWidth="1" min="12" max="26" width="8.57"/>
  </cols>
  <sheetData>
    <row r="1" ht="14.25" customHeight="1">
      <c r="A1" s="2" t="s">
        <v>0</v>
      </c>
      <c r="B1" s="5"/>
      <c r="C1" s="5"/>
      <c r="D1" s="5"/>
      <c r="E1" s="5"/>
      <c r="F1" s="5"/>
      <c r="G1" s="7"/>
      <c r="I1" s="119" t="s">
        <v>233</v>
      </c>
      <c r="J1" s="19"/>
      <c r="K1" s="21"/>
    </row>
    <row r="2" ht="14.25" customHeight="1">
      <c r="A2" s="9"/>
      <c r="B2" s="10"/>
      <c r="C2" s="10"/>
      <c r="D2" s="10"/>
      <c r="E2" s="10"/>
      <c r="F2" s="10"/>
      <c r="G2" s="13"/>
      <c r="I2" s="120" t="s">
        <v>234</v>
      </c>
      <c r="J2" s="19"/>
      <c r="K2" s="21"/>
    </row>
    <row r="3" ht="14.25" customHeight="1">
      <c r="A3" s="23" t="s">
        <v>235</v>
      </c>
      <c r="B3" s="19"/>
      <c r="C3" s="19"/>
      <c r="D3" s="19"/>
      <c r="E3" s="19"/>
      <c r="F3" s="19"/>
      <c r="G3" s="21"/>
      <c r="I3" s="24" t="s">
        <v>34</v>
      </c>
      <c r="J3" s="24" t="s">
        <v>157</v>
      </c>
      <c r="K3" s="24" t="s">
        <v>236</v>
      </c>
    </row>
    <row r="4">
      <c r="I4" s="27" t="s">
        <v>237</v>
      </c>
      <c r="J4" s="45">
        <f>COUNTIFS(D10:D28,"&lt;"&amp;TODAY(),F10:F28,"&lt;&gt;Yes")</f>
        <v>8</v>
      </c>
      <c r="K4" s="45">
        <f>COUNTIFS(D10:D28,"&lt;"&amp;TODAY(),F10:F28,"&lt;&gt;Yes")</f>
        <v>8</v>
      </c>
    </row>
    <row r="5" ht="15.0" customHeight="1">
      <c r="A5" s="25" t="s">
        <v>35</v>
      </c>
      <c r="B5" s="21"/>
      <c r="I5" s="27" t="s">
        <v>238</v>
      </c>
      <c r="J5" s="45">
        <f>COUNTIFS(D10:D28,"&gt;="&amp;TODAY(),D10:D28,"&lt;="&amp;(TODAY()+90),F10:F28,"&lt;&gt;Yes")</f>
        <v>1</v>
      </c>
      <c r="K5" s="45">
        <f>COUNTIFS(D10:D28,"&gt;="&amp;TODAY(),D10:D28,"&lt;="&amp;(TODAY()+90),F10:F28,"&lt;&gt;Yes")</f>
        <v>1</v>
      </c>
    </row>
    <row r="6" ht="15.75" customHeight="1">
      <c r="A6" s="31"/>
      <c r="B6" s="28" t="s">
        <v>237</v>
      </c>
      <c r="I6" s="27" t="s">
        <v>239</v>
      </c>
      <c r="J6" s="45">
        <f>COUNTIFS(D10:D28,"&gt;"&amp;(TODAY()+90),F10:F28,"&lt;&gt;Yes")</f>
        <v>0</v>
      </c>
      <c r="K6" s="45">
        <f>COUNTIFS(D10:D28,"&gt;"&amp;(TODAY()+90),F10:F28,"&lt;&gt;Yes")</f>
        <v>0</v>
      </c>
    </row>
    <row r="7" ht="15.75" customHeight="1">
      <c r="A7" s="123"/>
      <c r="B7" s="28" t="s">
        <v>240</v>
      </c>
      <c r="I7" s="27" t="s">
        <v>241</v>
      </c>
      <c r="J7" s="45">
        <f>COUNTIF(F10:F28,"Yes")</f>
        <v>10</v>
      </c>
      <c r="K7" s="45" t="s">
        <v>242</v>
      </c>
    </row>
    <row r="8" ht="15.75" customHeight="1">
      <c r="A8" s="124"/>
      <c r="B8" s="28" t="s">
        <v>241</v>
      </c>
      <c r="I8" s="125" t="s">
        <v>125</v>
      </c>
      <c r="J8" s="125">
        <f>COUNTA(A10:A28)</f>
        <v>19</v>
      </c>
      <c r="K8" s="125">
        <f>J8-J7</f>
        <v>9</v>
      </c>
    </row>
    <row r="9" ht="19.5" customHeight="1">
      <c r="A9" s="32" t="s">
        <v>44</v>
      </c>
      <c r="B9" s="32" t="s">
        <v>43</v>
      </c>
      <c r="C9" s="32" t="s">
        <v>243</v>
      </c>
      <c r="D9" s="32" t="s">
        <v>244</v>
      </c>
      <c r="E9" s="32" t="s">
        <v>245</v>
      </c>
      <c r="F9" s="32" t="s">
        <v>241</v>
      </c>
      <c r="G9" s="32" t="s">
        <v>46</v>
      </c>
    </row>
    <row r="10" ht="15.75" customHeight="1">
      <c r="A10" s="128" t="s">
        <v>246</v>
      </c>
      <c r="B10" s="129" t="s">
        <v>89</v>
      </c>
      <c r="C10" s="129" t="s">
        <v>247</v>
      </c>
      <c r="D10" s="130">
        <v>45666.0</v>
      </c>
      <c r="E10" s="131">
        <f t="shared" ref="E10:E28" si="1">D10-TODAY()</f>
        <v>-603</v>
      </c>
      <c r="F10" s="129"/>
      <c r="G10" s="132" t="s">
        <v>248</v>
      </c>
    </row>
    <row r="11" ht="15.75" customHeight="1">
      <c r="A11" s="133" t="s">
        <v>249</v>
      </c>
      <c r="B11" s="134" t="s">
        <v>114</v>
      </c>
      <c r="C11" s="134" t="s">
        <v>247</v>
      </c>
      <c r="D11" s="135">
        <v>45683.0</v>
      </c>
      <c r="E11" s="131">
        <f t="shared" si="1"/>
        <v>-586</v>
      </c>
      <c r="F11" s="129" t="s">
        <v>167</v>
      </c>
      <c r="G11" s="128"/>
    </row>
    <row r="12" ht="15.75" customHeight="1">
      <c r="A12" s="133" t="s">
        <v>250</v>
      </c>
      <c r="B12" s="134" t="s">
        <v>114</v>
      </c>
      <c r="C12" s="134" t="s">
        <v>247</v>
      </c>
      <c r="D12" s="135">
        <v>45690.0</v>
      </c>
      <c r="E12" s="131">
        <f t="shared" si="1"/>
        <v>-579</v>
      </c>
      <c r="F12" s="129" t="s">
        <v>167</v>
      </c>
      <c r="G12" s="128"/>
    </row>
    <row r="13" ht="15.75" customHeight="1">
      <c r="A13" s="128" t="s">
        <v>251</v>
      </c>
      <c r="B13" s="129" t="s">
        <v>92</v>
      </c>
      <c r="C13" s="129" t="s">
        <v>247</v>
      </c>
      <c r="D13" s="130">
        <v>45690.0</v>
      </c>
      <c r="E13" s="131">
        <f t="shared" si="1"/>
        <v>-579</v>
      </c>
      <c r="F13" s="136" t="s">
        <v>167</v>
      </c>
      <c r="G13" s="128"/>
    </row>
    <row r="14" ht="15.75" customHeight="1">
      <c r="A14" s="128" t="s">
        <v>252</v>
      </c>
      <c r="B14" s="129" t="s">
        <v>92</v>
      </c>
      <c r="C14" s="129" t="s">
        <v>247</v>
      </c>
      <c r="D14" s="130">
        <v>45691.0</v>
      </c>
      <c r="E14" s="131">
        <f t="shared" si="1"/>
        <v>-578</v>
      </c>
      <c r="F14" s="129"/>
      <c r="G14" s="132" t="s">
        <v>253</v>
      </c>
    </row>
    <row r="15" ht="15.75" customHeight="1">
      <c r="A15" s="128" t="s">
        <v>254</v>
      </c>
      <c r="B15" s="129" t="s">
        <v>114</v>
      </c>
      <c r="C15" s="129" t="s">
        <v>247</v>
      </c>
      <c r="D15" s="130">
        <v>45698.0</v>
      </c>
      <c r="E15" s="131">
        <f t="shared" si="1"/>
        <v>-571</v>
      </c>
      <c r="F15" s="136" t="s">
        <v>167</v>
      </c>
      <c r="G15" s="128"/>
    </row>
    <row r="16" ht="15.75" customHeight="1">
      <c r="A16" s="133" t="s">
        <v>69</v>
      </c>
      <c r="B16" s="134" t="s">
        <v>68</v>
      </c>
      <c r="C16" s="134" t="s">
        <v>247</v>
      </c>
      <c r="D16" s="135">
        <v>45698.0</v>
      </c>
      <c r="E16" s="131">
        <f t="shared" si="1"/>
        <v>-571</v>
      </c>
      <c r="F16" s="129" t="s">
        <v>167</v>
      </c>
      <c r="G16" s="128"/>
    </row>
    <row r="17" ht="15.75" customHeight="1">
      <c r="A17" s="128" t="s">
        <v>172</v>
      </c>
      <c r="B17" s="129" t="s">
        <v>171</v>
      </c>
      <c r="C17" s="129" t="s">
        <v>247</v>
      </c>
      <c r="D17" s="130">
        <v>45910.0</v>
      </c>
      <c r="E17" s="131">
        <f t="shared" si="1"/>
        <v>-359</v>
      </c>
      <c r="F17" s="129"/>
      <c r="G17" s="132" t="s">
        <v>255</v>
      </c>
    </row>
    <row r="18" ht="15.75" customHeight="1">
      <c r="A18" s="128" t="s">
        <v>256</v>
      </c>
      <c r="B18" s="129" t="s">
        <v>82</v>
      </c>
      <c r="C18" s="129" t="s">
        <v>257</v>
      </c>
      <c r="D18" s="130">
        <v>46089.0</v>
      </c>
      <c r="E18" s="131">
        <f t="shared" si="1"/>
        <v>-180</v>
      </c>
      <c r="F18" s="136" t="s">
        <v>258</v>
      </c>
      <c r="G18" s="128"/>
    </row>
    <row r="19" ht="15.75" customHeight="1">
      <c r="A19" s="128" t="s">
        <v>259</v>
      </c>
      <c r="B19" s="129" t="s">
        <v>82</v>
      </c>
      <c r="C19" s="129" t="s">
        <v>247</v>
      </c>
      <c r="D19" s="130">
        <v>46096.0</v>
      </c>
      <c r="E19" s="131">
        <f t="shared" si="1"/>
        <v>-173</v>
      </c>
      <c r="F19" s="129"/>
      <c r="G19" s="128"/>
    </row>
    <row r="20" ht="15.75" customHeight="1">
      <c r="A20" s="128" t="s">
        <v>260</v>
      </c>
      <c r="B20" s="129" t="s">
        <v>61</v>
      </c>
      <c r="C20" s="129" t="s">
        <v>247</v>
      </c>
      <c r="D20" s="130">
        <v>46103.0</v>
      </c>
      <c r="E20" s="131">
        <f t="shared" si="1"/>
        <v>-166</v>
      </c>
      <c r="F20" s="136" t="s">
        <v>167</v>
      </c>
      <c r="G20" s="128"/>
    </row>
    <row r="21" ht="15.75" customHeight="1">
      <c r="A21" s="128" t="s">
        <v>261</v>
      </c>
      <c r="B21" s="129" t="s">
        <v>92</v>
      </c>
      <c r="C21" s="129" t="s">
        <v>247</v>
      </c>
      <c r="D21" s="130">
        <v>46103.0</v>
      </c>
      <c r="E21" s="131">
        <f t="shared" si="1"/>
        <v>-166</v>
      </c>
      <c r="F21" s="129"/>
      <c r="G21" s="128"/>
    </row>
    <row r="22" ht="15.75" customHeight="1">
      <c r="A22" s="133" t="s">
        <v>262</v>
      </c>
      <c r="B22" s="134" t="s">
        <v>114</v>
      </c>
      <c r="C22" s="134" t="s">
        <v>247</v>
      </c>
      <c r="D22" s="130">
        <v>46111.0</v>
      </c>
      <c r="E22" s="131">
        <f t="shared" si="1"/>
        <v>-158</v>
      </c>
      <c r="F22" s="129" t="s">
        <v>167</v>
      </c>
      <c r="G22" s="128"/>
    </row>
    <row r="23" ht="15.75" customHeight="1">
      <c r="A23" s="128" t="s">
        <v>263</v>
      </c>
      <c r="B23" s="129" t="s">
        <v>89</v>
      </c>
      <c r="C23" s="129" t="s">
        <v>247</v>
      </c>
      <c r="D23" s="135">
        <v>46130.0</v>
      </c>
      <c r="E23" s="131">
        <f t="shared" si="1"/>
        <v>-139</v>
      </c>
      <c r="F23" s="136" t="s">
        <v>167</v>
      </c>
      <c r="G23" s="128"/>
    </row>
    <row r="24" ht="15.75" customHeight="1">
      <c r="A24" s="128" t="s">
        <v>264</v>
      </c>
      <c r="B24" s="129" t="s">
        <v>114</v>
      </c>
      <c r="C24" s="129" t="s">
        <v>247</v>
      </c>
      <c r="D24" s="130">
        <v>46240.0</v>
      </c>
      <c r="E24" s="131">
        <f t="shared" si="1"/>
        <v>-29</v>
      </c>
      <c r="F24" s="129"/>
      <c r="G24" s="132" t="s">
        <v>265</v>
      </c>
    </row>
    <row r="25" ht="15.75" customHeight="1">
      <c r="A25" s="128" t="s">
        <v>266</v>
      </c>
      <c r="B25" s="129" t="s">
        <v>171</v>
      </c>
      <c r="C25" s="129" t="s">
        <v>247</v>
      </c>
      <c r="D25" s="130">
        <v>46240.0</v>
      </c>
      <c r="E25" s="131">
        <f t="shared" si="1"/>
        <v>-29</v>
      </c>
      <c r="F25" s="136" t="s">
        <v>167</v>
      </c>
      <c r="G25" s="128"/>
    </row>
    <row r="26" ht="15.75" customHeight="1">
      <c r="A26" s="128" t="s">
        <v>267</v>
      </c>
      <c r="B26" s="129" t="s">
        <v>92</v>
      </c>
      <c r="C26" s="129" t="s">
        <v>247</v>
      </c>
      <c r="D26" s="130">
        <v>46260.0</v>
      </c>
      <c r="E26" s="131">
        <f t="shared" si="1"/>
        <v>-9</v>
      </c>
      <c r="F26" s="129"/>
      <c r="G26" s="128"/>
    </row>
    <row r="27" ht="15.75" customHeight="1">
      <c r="A27" s="128" t="s">
        <v>268</v>
      </c>
      <c r="B27" s="129" t="s">
        <v>114</v>
      </c>
      <c r="C27" s="129" t="s">
        <v>247</v>
      </c>
      <c r="D27" s="130">
        <v>46278.0</v>
      </c>
      <c r="E27" s="131">
        <f t="shared" si="1"/>
        <v>9</v>
      </c>
      <c r="F27" s="136" t="s">
        <v>167</v>
      </c>
      <c r="G27" s="128"/>
    </row>
    <row r="28" ht="15.75" customHeight="1">
      <c r="A28" s="128" t="s">
        <v>269</v>
      </c>
      <c r="B28" s="129" t="s">
        <v>92</v>
      </c>
      <c r="C28" s="129" t="s">
        <v>247</v>
      </c>
      <c r="D28" s="130">
        <v>46298.0</v>
      </c>
      <c r="E28" s="131">
        <f t="shared" si="1"/>
        <v>29</v>
      </c>
      <c r="F28" s="129"/>
      <c r="G28" s="132" t="s">
        <v>265</v>
      </c>
    </row>
    <row r="29" ht="14.25" customHeight="1">
      <c r="A29" s="4" t="s">
        <v>270</v>
      </c>
      <c r="F29" s="4" t="s">
        <v>167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2"/>
    <mergeCell ref="I1:K1"/>
    <mergeCell ref="I2:K2"/>
    <mergeCell ref="A3:G3"/>
    <mergeCell ref="A5:B5"/>
  </mergeCells>
  <conditionalFormatting sqref="A10:G28">
    <cfRule type="expression" dxfId="4" priority="1">
      <formula>$F10="Yes"</formula>
    </cfRule>
  </conditionalFormatting>
  <conditionalFormatting sqref="A10:G28">
    <cfRule type="expression" dxfId="0" priority="2">
      <formula>AND($D10&lt;TODAY(),$F10&lt;&gt;"Yes")</formula>
    </cfRule>
  </conditionalFormatting>
  <conditionalFormatting sqref="A10:G28">
    <cfRule type="expression" dxfId="3" priority="3">
      <formula>AND($D10&gt;=TODAY(),$D10&lt;=TODAY()+90,$F10&lt;&gt;"Yes")</formula>
    </cfRule>
  </conditionalFormatting>
  <conditionalFormatting sqref="A10:G28">
    <cfRule type="expression" dxfId="1" priority="4">
      <formula>AND($D10&gt;TODAY()+90,$F10&lt;&gt;"Yes")</formula>
    </cfRule>
  </conditionalFormatting>
  <dataValidations>
    <dataValidation type="list" allowBlank="1" sqref="F10:F28">
      <formula1>"Yes,No"</formula1>
    </dataValidation>
  </dataValidations>
  <printOptions/>
  <pageMargins bottom="0.75" footer="0.0" header="0.0" left="0.7" right="0.7" top="0.75"/>
  <pageSetup orientation="landscape"/>
  <drawing r:id="rId1"/>
</worksheet>
</file>